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C822595A-A589-4223-B593-6BDFF608524A}" xr6:coauthVersionLast="47" xr6:coauthVersionMax="47" xr10:uidLastSave="{00000000-0000-0000-0000-000000000000}"/>
  <bookViews>
    <workbookView xWindow="-108" yWindow="-108" windowWidth="23256" windowHeight="12456" xr2:uid="{E876E417-BC45-4760-A2EC-6C45568681F6}"/>
  </bookViews>
  <sheets>
    <sheet name="進捗管理表" sheetId="1" r:id="rId1"/>
  </sheets>
  <definedNames>
    <definedName name="_xlnm._FilterDatabase" localSheetId="0" hidden="1">進捗管理表!$A$8:$GJ$10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J6" i="1"/>
  <c r="J8" i="1" l="1"/>
  <c r="K8" i="1"/>
  <c r="L7" i="1"/>
  <c r="L8" i="1" l="1"/>
  <c r="M7" i="1"/>
  <c r="M8" i="1" l="1"/>
  <c r="N7" i="1"/>
  <c r="N8" i="1" l="1"/>
  <c r="O7" i="1"/>
  <c r="O8" i="1" l="1"/>
  <c r="P7" i="1"/>
  <c r="Q7" i="1" l="1"/>
  <c r="P8" i="1"/>
  <c r="R7" i="1" l="1"/>
  <c r="Q8" i="1"/>
  <c r="S7" i="1" l="1"/>
  <c r="R8" i="1"/>
  <c r="S8" i="1" l="1"/>
  <c r="T7" i="1"/>
  <c r="U7" i="1" l="1"/>
  <c r="T8" i="1"/>
  <c r="U8" i="1" l="1"/>
  <c r="V7" i="1"/>
  <c r="V8" i="1" l="1"/>
  <c r="W7" i="1"/>
  <c r="W8" i="1" l="1"/>
  <c r="X7" i="1"/>
  <c r="X8" i="1" l="1"/>
  <c r="Y7" i="1"/>
  <c r="Y8" i="1" l="1"/>
  <c r="Z7" i="1"/>
  <c r="Z8" i="1" l="1"/>
  <c r="AA7" i="1"/>
  <c r="AB7" i="1" l="1"/>
  <c r="AA8" i="1"/>
  <c r="AB8" i="1" l="1"/>
  <c r="AC7" i="1"/>
  <c r="AC8" i="1" l="1"/>
  <c r="AD7" i="1"/>
  <c r="AE7" i="1" l="1"/>
  <c r="AD8" i="1"/>
  <c r="AE8" i="1" l="1"/>
  <c r="AF7" i="1"/>
  <c r="AF8" i="1" l="1"/>
  <c r="AG7" i="1"/>
  <c r="AG8" i="1" l="1"/>
  <c r="AH7" i="1"/>
  <c r="AI7" i="1" l="1"/>
  <c r="AH8" i="1"/>
  <c r="AJ7" i="1" l="1"/>
  <c r="AI8" i="1"/>
  <c r="AK7" i="1" l="1"/>
  <c r="AJ8" i="1"/>
  <c r="AK8" i="1" l="1"/>
  <c r="AL7" i="1"/>
  <c r="AL8" i="1" l="1"/>
  <c r="AM7" i="1"/>
  <c r="AM8" i="1" l="1"/>
  <c r="AN7" i="1"/>
  <c r="AN8" i="1" l="1"/>
  <c r="AO7" i="1"/>
  <c r="AO6" i="1" l="1"/>
  <c r="AO8" i="1"/>
  <c r="AP7" i="1"/>
  <c r="AP8" i="1" l="1"/>
  <c r="AQ7" i="1"/>
  <c r="AR7" i="1" l="1"/>
  <c r="AQ8" i="1"/>
  <c r="AR8" i="1" l="1"/>
  <c r="AS7" i="1"/>
  <c r="AS8" i="1" l="1"/>
  <c r="AT7" i="1"/>
  <c r="AT8" i="1" l="1"/>
  <c r="AU7" i="1"/>
  <c r="AU8" i="1" l="1"/>
  <c r="AV7" i="1"/>
  <c r="AW7" i="1" l="1"/>
  <c r="AV8" i="1"/>
  <c r="AX7" i="1" l="1"/>
  <c r="AW8" i="1"/>
  <c r="AY7" i="1" l="1"/>
  <c r="AX8" i="1"/>
  <c r="AY8" i="1" l="1"/>
  <c r="AZ7" i="1"/>
  <c r="BA7" i="1" l="1"/>
  <c r="AZ8" i="1"/>
  <c r="BA8" i="1" l="1"/>
  <c r="BB7" i="1"/>
  <c r="BB8" i="1" l="1"/>
  <c r="BC7" i="1"/>
  <c r="BC8" i="1" l="1"/>
  <c r="BD7" i="1"/>
  <c r="BD8" i="1" l="1"/>
  <c r="BE7" i="1"/>
  <c r="BE8" i="1" l="1"/>
  <c r="BF7" i="1"/>
  <c r="BG7" i="1" l="1"/>
  <c r="BF8" i="1"/>
  <c r="BG8" i="1" l="1"/>
  <c r="BH7" i="1"/>
  <c r="BH8" i="1" l="1"/>
  <c r="BI7" i="1"/>
  <c r="BI8" i="1" l="1"/>
  <c r="BJ7" i="1"/>
  <c r="BK7" i="1" l="1"/>
  <c r="BJ8" i="1"/>
  <c r="BK8" i="1" l="1"/>
  <c r="BL7" i="1"/>
  <c r="BM7" i="1" l="1"/>
  <c r="BL8" i="1"/>
  <c r="BN7" i="1" l="1"/>
  <c r="BM8" i="1"/>
  <c r="BO7" i="1" l="1"/>
  <c r="BN8" i="1"/>
  <c r="BP7" i="1" l="1"/>
  <c r="BO8" i="1"/>
  <c r="BQ7" i="1" l="1"/>
  <c r="BP8" i="1"/>
  <c r="BQ8" i="1" l="1"/>
  <c r="BR7" i="1"/>
  <c r="BR8" i="1" l="1"/>
  <c r="BS7" i="1"/>
  <c r="BS8" i="1" l="1"/>
  <c r="BT7" i="1"/>
  <c r="BS6" i="1"/>
  <c r="BT8" i="1" l="1"/>
  <c r="BU7" i="1"/>
  <c r="BU8" i="1" l="1"/>
  <c r="BV7" i="1"/>
  <c r="BW7" i="1" l="1"/>
  <c r="BV8" i="1"/>
  <c r="BX7" i="1" l="1"/>
  <c r="BW8" i="1"/>
  <c r="BX8" i="1" l="1"/>
  <c r="BY7" i="1"/>
  <c r="BY8" i="1" l="1"/>
  <c r="BZ7" i="1"/>
  <c r="BZ8" i="1" l="1"/>
  <c r="CA7" i="1"/>
  <c r="CA8" i="1" l="1"/>
  <c r="CB7" i="1"/>
  <c r="CC7" i="1" l="1"/>
  <c r="CB8" i="1"/>
  <c r="CC8" i="1" l="1"/>
  <c r="CD7" i="1"/>
  <c r="CE7" i="1" l="1"/>
  <c r="CD8" i="1"/>
  <c r="CE8" i="1" l="1"/>
  <c r="CF7" i="1"/>
  <c r="CG7" i="1" l="1"/>
  <c r="CF8" i="1"/>
  <c r="CG8" i="1" l="1"/>
  <c r="CH7" i="1"/>
  <c r="CH8" i="1" l="1"/>
  <c r="CI7" i="1"/>
  <c r="CI8" i="1" l="1"/>
  <c r="CJ7" i="1"/>
  <c r="CJ8" i="1" l="1"/>
  <c r="CK7" i="1"/>
  <c r="CK8" i="1" l="1"/>
  <c r="CL7" i="1"/>
  <c r="CM7" i="1" l="1"/>
  <c r="CL8" i="1"/>
  <c r="CN7" i="1" l="1"/>
  <c r="CM8" i="1"/>
  <c r="CN8" i="1" l="1"/>
  <c r="CO7" i="1"/>
  <c r="CO8" i="1" l="1"/>
  <c r="CP7" i="1"/>
  <c r="CQ7" i="1" l="1"/>
  <c r="CP8" i="1"/>
  <c r="CQ8" i="1" l="1"/>
  <c r="CR7" i="1"/>
  <c r="CS7" i="1" l="1"/>
  <c r="CR8" i="1"/>
  <c r="CT7" i="1" l="1"/>
  <c r="CS8" i="1"/>
  <c r="CU7" i="1" l="1"/>
  <c r="CT8" i="1"/>
  <c r="CV7" i="1" l="1"/>
  <c r="CU8" i="1"/>
  <c r="CW7" i="1" l="1"/>
  <c r="CV8" i="1"/>
  <c r="CW8" i="1" l="1"/>
  <c r="CX7" i="1"/>
  <c r="CX8" i="1" l="1"/>
  <c r="CX6" i="1"/>
  <c r="CY7" i="1"/>
  <c r="CY8" i="1" l="1"/>
  <c r="CZ7" i="1"/>
  <c r="CZ8" i="1" l="1"/>
  <c r="DA7" i="1"/>
  <c r="DA8" i="1" l="1"/>
  <c r="DB7" i="1"/>
  <c r="DB8" i="1" l="1"/>
  <c r="DC7" i="1"/>
  <c r="DD7" i="1" l="1"/>
  <c r="DC8" i="1"/>
  <c r="DD8" i="1" l="1"/>
  <c r="DE7" i="1"/>
  <c r="DE8" i="1" l="1"/>
  <c r="DF7" i="1"/>
  <c r="DF8" i="1" l="1"/>
  <c r="DG7" i="1"/>
  <c r="DG8" i="1" l="1"/>
  <c r="DH7" i="1"/>
  <c r="DI7" i="1" l="1"/>
  <c r="DH8" i="1"/>
  <c r="DJ7" i="1" l="1"/>
  <c r="DI8" i="1"/>
  <c r="DK7" i="1" l="1"/>
  <c r="DJ8" i="1"/>
  <c r="DK8" i="1" l="1"/>
  <c r="DL7" i="1"/>
  <c r="DM7" i="1" l="1"/>
  <c r="DL8" i="1"/>
  <c r="DM8" i="1" l="1"/>
  <c r="DN7" i="1"/>
  <c r="DN8" i="1" l="1"/>
  <c r="DO7" i="1"/>
  <c r="DO8" i="1" l="1"/>
  <c r="DP7" i="1"/>
  <c r="DP8" i="1" l="1"/>
  <c r="DQ7" i="1"/>
  <c r="DR7" i="1" l="1"/>
  <c r="DQ8" i="1"/>
  <c r="DR8" i="1" l="1"/>
  <c r="DS7" i="1"/>
  <c r="DS8" i="1" l="1"/>
  <c r="DT7" i="1"/>
  <c r="DT8" i="1" l="1"/>
  <c r="DU7" i="1"/>
  <c r="DU8" i="1" l="1"/>
  <c r="DV7" i="1"/>
  <c r="DW7" i="1" l="1"/>
  <c r="DV8" i="1"/>
  <c r="DW8" i="1" l="1"/>
  <c r="DX7" i="1"/>
  <c r="DY7" i="1" l="1"/>
  <c r="DX8" i="1"/>
  <c r="DZ7" i="1" l="1"/>
  <c r="DY8" i="1"/>
  <c r="EA7" i="1" l="1"/>
  <c r="DZ8" i="1"/>
  <c r="EB7" i="1" l="1"/>
  <c r="EA8" i="1"/>
  <c r="EC7" i="1" l="1"/>
  <c r="EB8" i="1"/>
  <c r="EC8" i="1" l="1"/>
  <c r="EC6" i="1"/>
  <c r="ED7" i="1"/>
  <c r="ED8" i="1" l="1"/>
  <c r="EE7" i="1"/>
  <c r="EE8" i="1" l="1"/>
  <c r="EF7" i="1"/>
  <c r="EF8" i="1" l="1"/>
  <c r="EG7" i="1"/>
  <c r="EH7" i="1" l="1"/>
  <c r="EG8" i="1"/>
  <c r="EH8" i="1" l="1"/>
  <c r="EI7" i="1"/>
  <c r="EJ7" i="1" l="1"/>
  <c r="EI8" i="1"/>
  <c r="EJ8" i="1" l="1"/>
  <c r="EK7" i="1"/>
  <c r="EK8" i="1" l="1"/>
  <c r="EL7" i="1"/>
  <c r="EL8" i="1" l="1"/>
  <c r="EM7" i="1"/>
  <c r="EM8" i="1" l="1"/>
  <c r="EN7" i="1"/>
  <c r="EO7" i="1" l="1"/>
  <c r="EN8" i="1"/>
  <c r="EP7" i="1" l="1"/>
  <c r="EO8" i="1"/>
  <c r="EQ7" i="1" l="1"/>
  <c r="EP8" i="1"/>
  <c r="EQ8" i="1" l="1"/>
  <c r="ER7" i="1"/>
  <c r="ES7" i="1" l="1"/>
  <c r="ER8" i="1"/>
  <c r="ES8" i="1" l="1"/>
  <c r="ET7" i="1"/>
  <c r="ET8" i="1" l="1"/>
  <c r="EU7" i="1"/>
  <c r="EU8" i="1" l="1"/>
  <c r="EV7" i="1"/>
  <c r="EV8" i="1" l="1"/>
  <c r="EW7" i="1"/>
  <c r="EW8" i="1" l="1"/>
  <c r="EX7" i="1"/>
  <c r="EX8" i="1" l="1"/>
  <c r="EY7" i="1"/>
  <c r="EY8" i="1" l="1"/>
  <c r="EZ7" i="1"/>
  <c r="EZ8" i="1" l="1"/>
  <c r="FA7" i="1"/>
  <c r="FA8" i="1" l="1"/>
  <c r="FB7" i="1"/>
  <c r="FC7" i="1" l="1"/>
  <c r="FB8" i="1"/>
  <c r="FC8" i="1" l="1"/>
  <c r="FD7" i="1"/>
  <c r="FD8" i="1" l="1"/>
  <c r="FE7" i="1"/>
  <c r="FF7" i="1" l="1"/>
  <c r="FE6" i="1"/>
  <c r="FE8" i="1"/>
  <c r="FG7" i="1" l="1"/>
  <c r="FF8" i="1"/>
  <c r="FH7" i="1" l="1"/>
  <c r="FG8" i="1"/>
  <c r="FI7" i="1" l="1"/>
  <c r="FH8" i="1"/>
  <c r="FI8" i="1" l="1"/>
  <c r="FJ7" i="1"/>
  <c r="FJ8" i="1" l="1"/>
  <c r="FK7" i="1"/>
  <c r="FK8" i="1" l="1"/>
  <c r="FL7" i="1"/>
  <c r="FL8" i="1" l="1"/>
  <c r="FM7" i="1"/>
  <c r="FM8" i="1" l="1"/>
  <c r="FN7" i="1"/>
  <c r="FO7" i="1" l="1"/>
  <c r="FN8" i="1"/>
  <c r="FP7" i="1" l="1"/>
  <c r="FO8" i="1"/>
  <c r="FP8" i="1" l="1"/>
  <c r="FQ7" i="1"/>
  <c r="FQ8" i="1" l="1"/>
  <c r="FR7" i="1"/>
  <c r="FR8" i="1" l="1"/>
  <c r="FS7" i="1"/>
  <c r="FS8" i="1" l="1"/>
  <c r="FT7" i="1"/>
  <c r="FU7" i="1" l="1"/>
  <c r="FT8" i="1"/>
  <c r="FV7" i="1" l="1"/>
  <c r="FU8" i="1"/>
  <c r="FW7" i="1" l="1"/>
  <c r="FV8" i="1"/>
  <c r="FW8" i="1" l="1"/>
  <c r="FX7" i="1"/>
  <c r="FY7" i="1" l="1"/>
  <c r="FX8" i="1"/>
  <c r="FY8" i="1" l="1"/>
  <c r="FZ7" i="1"/>
  <c r="FZ8" i="1" l="1"/>
  <c r="GA7" i="1"/>
  <c r="GA8" i="1" l="1"/>
  <c r="GB7" i="1"/>
  <c r="GB8" i="1" l="1"/>
  <c r="GC7" i="1"/>
  <c r="GC8" i="1" l="1"/>
  <c r="GD7" i="1"/>
  <c r="GD8" i="1" l="1"/>
  <c r="GE7" i="1"/>
  <c r="GE8" i="1" l="1"/>
  <c r="GF7" i="1"/>
  <c r="GF8" i="1" l="1"/>
  <c r="GG7" i="1"/>
  <c r="GG8" i="1" l="1"/>
  <c r="GH7" i="1"/>
  <c r="GH8" i="1" l="1"/>
  <c r="GI7" i="1"/>
  <c r="GI8" i="1" s="1"/>
</calcChain>
</file>

<file path=xl/sharedStrings.xml><?xml version="1.0" encoding="utf-8"?>
<sst xmlns="http://schemas.openxmlformats.org/spreadsheetml/2006/main" count="63" uniqueCount="32">
  <si>
    <t>No</t>
    <phoneticPr fontId="4"/>
  </si>
  <si>
    <t>担当</t>
    <rPh sb="0" eb="2">
      <t>タントウ</t>
    </rPh>
    <phoneticPr fontId="4"/>
  </si>
  <si>
    <t>開始</t>
    <rPh sb="0" eb="2">
      <t>カイシ</t>
    </rPh>
    <phoneticPr fontId="4"/>
  </si>
  <si>
    <t>終了</t>
    <rPh sb="0" eb="2">
      <t>シュウリョウ</t>
    </rPh>
    <phoneticPr fontId="4"/>
  </si>
  <si>
    <t>状況</t>
    <rPh sb="0" eb="2">
      <t>ジョウキョウ</t>
    </rPh>
    <phoneticPr fontId="4"/>
  </si>
  <si>
    <t>名称</t>
    <rPh sb="0" eb="2">
      <t>メイショウ</t>
    </rPh>
    <phoneticPr fontId="4"/>
  </si>
  <si>
    <t>タスク名</t>
    <rPh sb="3" eb="4">
      <t xml:space="preserve">メイ </t>
    </rPh>
    <phoneticPr fontId="4"/>
  </si>
  <si>
    <t>実績</t>
    <rPh sb="0" eb="2">
      <t xml:space="preserve">ジッセキ </t>
    </rPh>
    <phoneticPr fontId="4"/>
  </si>
  <si>
    <t>予定</t>
    <rPh sb="0" eb="2">
      <t xml:space="preserve">ヨテイ </t>
    </rPh>
    <phoneticPr fontId="2"/>
  </si>
  <si>
    <t>状況</t>
    <rPh sb="0" eb="2">
      <t xml:space="preserve">ジョウキョウ </t>
    </rPh>
    <phoneticPr fontId="2"/>
  </si>
  <si>
    <t>予定</t>
    <rPh sb="0" eb="2">
      <t xml:space="preserve">ヨテイ </t>
    </rPh>
    <phoneticPr fontId="4"/>
  </si>
  <si>
    <t>未着手、実施中、完了</t>
    <rPh sb="0" eb="1">
      <t xml:space="preserve">ミカンリョウ </t>
    </rPh>
    <rPh sb="1" eb="3">
      <t xml:space="preserve">チャクシュ </t>
    </rPh>
    <rPh sb="4" eb="6">
      <t xml:space="preserve">ジッシ </t>
    </rPh>
    <rPh sb="6" eb="7">
      <t xml:space="preserve">チュウ </t>
    </rPh>
    <rPh sb="8" eb="10">
      <t xml:space="preserve">カンリョウ </t>
    </rPh>
    <phoneticPr fontId="2"/>
  </si>
  <si>
    <t>A・M・G（対魔法少女殲滅部隊）</t>
    <phoneticPr fontId="2"/>
  </si>
  <si>
    <t>α版：プレイヤー・ボス・UIのスクリプト作成</t>
  </si>
  <si>
    <t>完了</t>
  </si>
  <si>
    <t>プレイヤーモデル・リグ（パーツ割り当て・IK）の組み込み</t>
  </si>
  <si>
    <t>実施中</t>
  </si>
  <si>
    <t>ボス戦のバランス調整（瘤・フェーズ移行・攻撃4種）</t>
  </si>
  <si>
    <t>未着手</t>
  </si>
  <si>
    <t>雑魚敵の実装（使い魔・汚染人）</t>
  </si>
  <si>
    <t>道中ステージの制作（植物に埋もれた村）</t>
  </si>
  <si>
    <t>武器・ガジェットの種類を決めて追加</t>
  </si>
  <si>
    <t>ボス撃破でウルト獲得（絡みつく根）・ウルトコンボ</t>
  </si>
  <si>
    <t>チュートリアル（低ランクの魔法少女と使い魔）</t>
  </si>
  <si>
    <t>ポートフォリオ用のプレイ動画・資料作成</t>
  </si>
  <si>
    <t>通しプレイ・バグ修正・仕上げ</t>
  </si>
  <si>
    <t>坂木</t>
  </si>
  <si>
    <t>α版の動作確認・手触り調整（操作・足の動き・HUD・握り方・しゃがみ）</t>
  </si>
  <si>
    <t>ステージ7ラスボス（原初の魔法少女）のボス戦（α版）</t>
  </si>
  <si>
    <t>ゲームの流れ（拠点⇔ステージのシーン遷移）・Assetsの整理</t>
  </si>
  <si>
    <t>拠点の3Dメニュー（カメラ演出・ステージ選択・ホログラムの設計図）</t>
  </si>
  <si>
    <t>拠点の中身（装備・強化・変更／武器作成・研究）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</si>
</sst>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m"/>
    <numFmt numFmtId="178" formatCode="d"/>
  </numFmts>
  <fonts count="9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0"/>
      <name val="メイリオ"/>
      <family val="3"/>
      <charset val="128"/>
    </font>
    <font>
      <sz val="6"/>
      <name val="Meiryo UI"/>
      <family val="2"/>
      <charset val="128"/>
    </font>
    <font>
      <b/>
      <sz val="10"/>
      <color theme="0"/>
      <name val="メイリオ"/>
      <family val="3"/>
      <charset val="128"/>
    </font>
    <font>
      <b/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22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hair">
        <color theme="1"/>
      </left>
      <right style="thin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theme="1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1"/>
      </bottom>
      <diagonal/>
    </border>
    <border>
      <left style="thin">
        <color theme="0" tint="-0.249977111117893"/>
      </left>
      <right/>
      <top style="thin">
        <color theme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indexed="64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indexed="64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hair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178" fontId="7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178" fontId="7" fillId="0" borderId="3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8" fontId="7" fillId="0" borderId="24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0" fillId="0" borderId="29" xfId="0" applyBorder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14" fontId="1" fillId="0" borderId="0" xfId="0" applyNumberFormat="1" applyFont="1">
      <alignment vertical="center"/>
    </xf>
    <xf numFmtId="14" fontId="1" fillId="0" borderId="4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6" xfId="0" applyFont="1" applyBorder="1">
      <alignment vertical="center"/>
    </xf>
    <xf numFmtId="0" fontId="1" fillId="0" borderId="48" xfId="0" applyFont="1" applyBorder="1">
      <alignment vertical="center"/>
    </xf>
    <xf numFmtId="14" fontId="1" fillId="0" borderId="47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0" fillId="0" borderId="30" xfId="0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0" xfId="0" applyFont="1" applyBorder="1">
      <alignment vertical="center"/>
    </xf>
    <xf numFmtId="0" fontId="1" fillId="0" borderId="30" xfId="0" applyFont="1" applyBorder="1" applyAlignment="1">
      <alignment horizontal="left" vertical="center" indent="1"/>
    </xf>
    <xf numFmtId="0" fontId="1" fillId="0" borderId="51" xfId="0" applyFont="1" applyBorder="1">
      <alignment vertical="center"/>
    </xf>
    <xf numFmtId="0" fontId="1" fillId="0" borderId="52" xfId="0" applyFont="1" applyBorder="1">
      <alignment vertical="center"/>
    </xf>
    <xf numFmtId="0" fontId="1" fillId="0" borderId="53" xfId="0" applyFont="1" applyBorder="1">
      <alignment vertical="center"/>
    </xf>
    <xf numFmtId="0" fontId="1" fillId="0" borderId="54" xfId="0" applyFont="1" applyBorder="1">
      <alignment vertical="center"/>
    </xf>
    <xf numFmtId="0" fontId="1" fillId="0" borderId="55" xfId="0" applyFont="1" applyBorder="1">
      <alignment vertical="center"/>
    </xf>
    <xf numFmtId="0" fontId="1" fillId="0" borderId="56" xfId="0" applyFont="1" applyBorder="1">
      <alignment vertical="center"/>
    </xf>
    <xf numFmtId="0" fontId="1" fillId="0" borderId="57" xfId="0" applyFont="1" applyBorder="1">
      <alignment vertical="center"/>
    </xf>
    <xf numFmtId="0" fontId="1" fillId="0" borderId="58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60" xfId="0" applyFont="1" applyBorder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3" borderId="3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14" fontId="5" fillId="2" borderId="39" xfId="0" applyNumberFormat="1" applyFont="1" applyFill="1" applyBorder="1" applyAlignment="1">
      <alignment horizontal="center" vertical="center"/>
    </xf>
    <xf numFmtId="14" fontId="5" fillId="2" borderId="40" xfId="0" applyNumberFormat="1" applyFont="1" applyFill="1" applyBorder="1" applyAlignment="1">
      <alignment horizontal="center" vertical="center"/>
    </xf>
    <xf numFmtId="14" fontId="5" fillId="2" borderId="37" xfId="0" applyNumberFormat="1" applyFont="1" applyFill="1" applyBorder="1" applyAlignment="1">
      <alignment horizontal="center" vertical="center"/>
    </xf>
    <xf numFmtId="14" fontId="5" fillId="2" borderId="38" xfId="0" applyNumberFormat="1" applyFont="1" applyFill="1" applyBorder="1" applyAlignment="1">
      <alignment horizontal="center" vertical="center"/>
    </xf>
    <xf numFmtId="177" fontId="1" fillId="0" borderId="41" xfId="0" applyNumberFormat="1" applyFont="1" applyBorder="1" applyAlignment="1">
      <alignment horizontal="center" vertical="center"/>
    </xf>
    <xf numFmtId="177" fontId="1" fillId="0" borderId="42" xfId="0" applyNumberFormat="1" applyFont="1" applyBorder="1" applyAlignment="1">
      <alignment horizontal="center" vertical="center"/>
    </xf>
    <xf numFmtId="177" fontId="1" fillId="0" borderId="43" xfId="0" applyNumberFormat="1" applyFont="1" applyBorder="1" applyAlignment="1">
      <alignment horizontal="center" vertical="center"/>
    </xf>
    <xf numFmtId="177" fontId="1" fillId="0" borderId="44" xfId="0" applyNumberFormat="1" applyFont="1" applyBorder="1" applyAlignment="1">
      <alignment horizontal="center" vertical="center"/>
    </xf>
    <xf numFmtId="177" fontId="1" fillId="0" borderId="45" xfId="0" applyNumberFormat="1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14" fontId="5" fillId="2" borderId="49" xfId="0" applyNumberFormat="1" applyFont="1" applyFill="1" applyBorder="1" applyAlignment="1">
      <alignment horizontal="center" vertical="center"/>
    </xf>
    <xf numFmtId="14" fontId="5" fillId="2" borderId="50" xfId="0" applyNumberFormat="1" applyFont="1" applyFill="1" applyBorder="1" applyAlignment="1">
      <alignment horizontal="center" vertical="center"/>
    </xf>
    <xf numFmtId="14" fontId="5" fillId="2" borderId="18" xfId="0" applyNumberFormat="1" applyFont="1" applyFill="1" applyBorder="1" applyAlignment="1">
      <alignment horizontal="center" vertical="center"/>
    </xf>
    <xf numFmtId="14" fontId="5" fillId="2" borderId="23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76" fontId="1" fillId="0" borderId="9" xfId="0" applyNumberFormat="1" applyFont="1" applyBorder="1" applyAlignment="1">
      <alignment horizontal="left" vertical="center" indent="1"/>
    </xf>
    <xf numFmtId="176" fontId="1" fillId="0" borderId="10" xfId="0" applyNumberFormat="1" applyFont="1" applyBorder="1" applyAlignment="1">
      <alignment horizontal="left" vertical="center" indent="1"/>
    </xf>
    <xf numFmtId="176" fontId="1" fillId="0" borderId="11" xfId="0" applyNumberFormat="1" applyFont="1" applyBorder="1" applyAlignment="1">
      <alignment horizontal="left" vertical="center" indent="1"/>
    </xf>
  </cellXfs>
  <cellStyles count="1">
    <cellStyle name="標準" xfId="0" builtinId="0"/>
  </cellStyles>
  <dxfs count="4">
    <dxf>
      <fill>
        <patternFill>
          <bgColor rgb="FFFFD8C9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border>
        <left style="thin">
          <color theme="0" tint="-0.499984740745262"/>
        </left>
        <vertical/>
        <horizontal/>
      </border>
    </dxf>
  </dxfs>
  <tableStyles count="0" defaultTableStyle="TableStyleMedium2" defaultPivotStyle="PivotStyleLight16"/>
  <colors>
    <mruColors>
      <color rgb="FFFFD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59070</xdr:colOff>
      <xdr:row>1</xdr:row>
      <xdr:rowOff>103372</xdr:rowOff>
    </xdr:from>
    <xdr:to>
      <xdr:col>27</xdr:col>
      <xdr:colOff>280582</xdr:colOff>
      <xdr:row>1</xdr:row>
      <xdr:rowOff>103372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460171E7-63F6-F54C-8A80-CF92D8762E70}"/>
            </a:ext>
          </a:extLst>
        </xdr:cNvPr>
        <xdr:cNvCxnSpPr/>
      </xdr:nvCxnSpPr>
      <xdr:spPr>
        <a:xfrm>
          <a:off x="13925698" y="339651"/>
          <a:ext cx="1151861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59070</xdr:colOff>
      <xdr:row>2</xdr:row>
      <xdr:rowOff>103372</xdr:rowOff>
    </xdr:from>
    <xdr:to>
      <xdr:col>27</xdr:col>
      <xdr:colOff>295349</xdr:colOff>
      <xdr:row>2</xdr:row>
      <xdr:rowOff>103372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AAE4B933-00DF-274F-979E-27096039A28A}"/>
            </a:ext>
          </a:extLst>
        </xdr:cNvPr>
        <xdr:cNvCxnSpPr/>
      </xdr:nvCxnSpPr>
      <xdr:spPr>
        <a:xfrm>
          <a:off x="13925698" y="575930"/>
          <a:ext cx="116662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203200</xdr:rowOff>
    </xdr:from>
    <xdr:to>
      <xdr:col>10</xdr:col>
      <xdr:colOff>279400</xdr:colOff>
      <xdr:row>8</xdr:row>
      <xdr:rowOff>203200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E128D6DC-4FF3-2FFD-E747-A4C8560D4C6F}"/>
            </a:ext>
          </a:extLst>
        </xdr:cNvPr>
        <xdr:cNvCxnSpPr/>
      </xdr:nvCxnSpPr>
      <xdr:spPr>
        <a:xfrm>
          <a:off x="9452610" y="2070100"/>
          <a:ext cx="58801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533400</xdr:rowOff>
    </xdr:from>
    <xdr:to>
      <xdr:col>10</xdr:col>
      <xdr:colOff>279400</xdr:colOff>
      <xdr:row>8</xdr:row>
      <xdr:rowOff>533400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40BB3A3-5AA2-6127-6678-72BCBFA950D0}"/>
            </a:ext>
          </a:extLst>
        </xdr:cNvPr>
        <xdr:cNvCxnSpPr/>
      </xdr:nvCxnSpPr>
      <xdr:spPr>
        <a:xfrm>
          <a:off x="9452610" y="2400300"/>
          <a:ext cx="58801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9</xdr:row>
      <xdr:rowOff>203200</xdr:rowOff>
    </xdr:from>
    <xdr:to>
      <xdr:col>11</xdr:col>
      <xdr:colOff>279400</xdr:colOff>
      <xdr:row>9</xdr:row>
      <xdr:rowOff>203200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AFD5B41-A245-74E2-8370-A4E40922CBC8}"/>
            </a:ext>
          </a:extLst>
        </xdr:cNvPr>
        <xdr:cNvCxnSpPr/>
      </xdr:nvCxnSpPr>
      <xdr:spPr>
        <a:xfrm>
          <a:off x="9780270" y="2832100"/>
          <a:ext cx="56515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9</xdr:row>
      <xdr:rowOff>533400</xdr:rowOff>
    </xdr:from>
    <xdr:to>
      <xdr:col>11</xdr:col>
      <xdr:colOff>279400</xdr:colOff>
      <xdr:row>9</xdr:row>
      <xdr:rowOff>533400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808755D-A4A8-2869-0D23-DCC9C6FA9E20}"/>
            </a:ext>
          </a:extLst>
        </xdr:cNvPr>
        <xdr:cNvCxnSpPr/>
      </xdr:nvCxnSpPr>
      <xdr:spPr>
        <a:xfrm>
          <a:off x="9780270" y="3162300"/>
          <a:ext cx="56515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10</xdr:row>
      <xdr:rowOff>203200</xdr:rowOff>
    </xdr:from>
    <xdr:to>
      <xdr:col>18</xdr:col>
      <xdr:colOff>256540</xdr:colOff>
      <xdr:row>10</xdr:row>
      <xdr:rowOff>203200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177036B-3EDF-3AEB-7242-C3824FD5FF69}"/>
            </a:ext>
          </a:extLst>
        </xdr:cNvPr>
        <xdr:cNvCxnSpPr/>
      </xdr:nvCxnSpPr>
      <xdr:spPr>
        <a:xfrm>
          <a:off x="10085070" y="3594100"/>
          <a:ext cx="230251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10</xdr:row>
      <xdr:rowOff>533400</xdr:rowOff>
    </xdr:from>
    <xdr:to>
      <xdr:col>12</xdr:col>
      <xdr:colOff>279400</xdr:colOff>
      <xdr:row>10</xdr:row>
      <xdr:rowOff>533400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7071037-BE7B-A768-D4BF-E08399A1761F}"/>
            </a:ext>
          </a:extLst>
        </xdr:cNvPr>
        <xdr:cNvCxnSpPr/>
      </xdr:nvCxnSpPr>
      <xdr:spPr>
        <a:xfrm>
          <a:off x="10085070" y="3924300"/>
          <a:ext cx="56515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11</xdr:row>
      <xdr:rowOff>203200</xdr:rowOff>
    </xdr:from>
    <xdr:to>
      <xdr:col>16</xdr:col>
      <xdr:colOff>256540</xdr:colOff>
      <xdr:row>11</xdr:row>
      <xdr:rowOff>203200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50123E0-3815-9C92-0B90-D896F336EBA8}"/>
            </a:ext>
          </a:extLst>
        </xdr:cNvPr>
        <xdr:cNvCxnSpPr/>
      </xdr:nvCxnSpPr>
      <xdr:spPr>
        <a:xfrm>
          <a:off x="11586210" y="4356100"/>
          <a:ext cx="23749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11</xdr:row>
      <xdr:rowOff>533400</xdr:rowOff>
    </xdr:from>
    <xdr:to>
      <xdr:col>16</xdr:col>
      <xdr:colOff>256540</xdr:colOff>
      <xdr:row>11</xdr:row>
      <xdr:rowOff>533400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F7502FCD-BFE9-06EF-062B-259C0C8FA778}"/>
            </a:ext>
          </a:extLst>
        </xdr:cNvPr>
        <xdr:cNvCxnSpPr/>
      </xdr:nvCxnSpPr>
      <xdr:spPr>
        <a:xfrm>
          <a:off x="11586210" y="4686300"/>
          <a:ext cx="23749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12</xdr:row>
      <xdr:rowOff>203200</xdr:rowOff>
    </xdr:from>
    <xdr:to>
      <xdr:col>17</xdr:col>
      <xdr:colOff>256540</xdr:colOff>
      <xdr:row>12</xdr:row>
      <xdr:rowOff>203200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7FC4203-69BC-EFD2-0C3E-E25CE6E20177}"/>
            </a:ext>
          </a:extLst>
        </xdr:cNvPr>
        <xdr:cNvCxnSpPr/>
      </xdr:nvCxnSpPr>
      <xdr:spPr>
        <a:xfrm>
          <a:off x="11868150" y="5118100"/>
          <a:ext cx="23749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12</xdr:row>
      <xdr:rowOff>533400</xdr:rowOff>
    </xdr:from>
    <xdr:to>
      <xdr:col>17</xdr:col>
      <xdr:colOff>256540</xdr:colOff>
      <xdr:row>12</xdr:row>
      <xdr:rowOff>533400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2CD1C9F-D67B-F641-BAA0-44A50F9FF5A1}"/>
            </a:ext>
          </a:extLst>
        </xdr:cNvPr>
        <xdr:cNvCxnSpPr/>
      </xdr:nvCxnSpPr>
      <xdr:spPr>
        <a:xfrm>
          <a:off x="11868150" y="5448300"/>
          <a:ext cx="23749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13</xdr:row>
      <xdr:rowOff>203200</xdr:rowOff>
    </xdr:from>
    <xdr:to>
      <xdr:col>20</xdr:col>
      <xdr:colOff>256540</xdr:colOff>
      <xdr:row>13</xdr:row>
      <xdr:rowOff>203200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9FAAB91-3E38-C9E2-D411-097A398BD908}"/>
            </a:ext>
          </a:extLst>
        </xdr:cNvPr>
        <xdr:cNvCxnSpPr/>
      </xdr:nvCxnSpPr>
      <xdr:spPr>
        <a:xfrm>
          <a:off x="11868150" y="5880100"/>
          <a:ext cx="108331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13</xdr:row>
      <xdr:rowOff>533400</xdr:rowOff>
    </xdr:from>
    <xdr:to>
      <xdr:col>18</xdr:col>
      <xdr:colOff>256540</xdr:colOff>
      <xdr:row>13</xdr:row>
      <xdr:rowOff>533400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22F04FE1-02EF-66B2-A2C1-96C8FA41A0EA}"/>
            </a:ext>
          </a:extLst>
        </xdr:cNvPr>
        <xdr:cNvCxnSpPr/>
      </xdr:nvCxnSpPr>
      <xdr:spPr>
        <a:xfrm>
          <a:off x="11868150" y="6210300"/>
          <a:ext cx="519430" cy="0"/>
        </a:xfrm>
        <a:prstGeom prst="straightConnector1">
          <a:avLst/>
        </a:prstGeom>
        <a:ln w="38100">
          <a:solidFill>
            <a:srgbClr val="FF0000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14</xdr:row>
      <xdr:rowOff>203200</xdr:rowOff>
    </xdr:from>
    <xdr:to>
      <xdr:col>27</xdr:col>
      <xdr:colOff>279400</xdr:colOff>
      <xdr:row>14</xdr:row>
      <xdr:rowOff>203200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B88811F-63E5-1AA9-9374-9580D0A7F4C3}"/>
            </a:ext>
          </a:extLst>
        </xdr:cNvPr>
        <xdr:cNvCxnSpPr/>
      </xdr:nvCxnSpPr>
      <xdr:spPr>
        <a:xfrm>
          <a:off x="12995910" y="6642100"/>
          <a:ext cx="202057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15</xdr:row>
      <xdr:rowOff>203200</xdr:rowOff>
    </xdr:from>
    <xdr:to>
      <xdr:col>39</xdr:col>
      <xdr:colOff>279400</xdr:colOff>
      <xdr:row>15</xdr:row>
      <xdr:rowOff>203200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CDD4E3D-A1DD-04B9-A0B6-2FDFB6CD2510}"/>
            </a:ext>
          </a:extLst>
        </xdr:cNvPr>
        <xdr:cNvCxnSpPr/>
      </xdr:nvCxnSpPr>
      <xdr:spPr>
        <a:xfrm>
          <a:off x="15060930" y="7404100"/>
          <a:ext cx="361315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19050</xdr:colOff>
      <xdr:row>16</xdr:row>
      <xdr:rowOff>203200</xdr:rowOff>
    </xdr:from>
    <xdr:to>
      <xdr:col>60</xdr:col>
      <xdr:colOff>279399</xdr:colOff>
      <xdr:row>16</xdr:row>
      <xdr:rowOff>203200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45E58281-FF10-08B6-6524-4F8462FD1B74}"/>
            </a:ext>
          </a:extLst>
        </xdr:cNvPr>
        <xdr:cNvCxnSpPr/>
      </xdr:nvCxnSpPr>
      <xdr:spPr>
        <a:xfrm>
          <a:off x="18718530" y="8166100"/>
          <a:ext cx="6150609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19049</xdr:colOff>
      <xdr:row>17</xdr:row>
      <xdr:rowOff>203200</xdr:rowOff>
    </xdr:from>
    <xdr:to>
      <xdr:col>74</xdr:col>
      <xdr:colOff>256541</xdr:colOff>
      <xdr:row>17</xdr:row>
      <xdr:rowOff>203200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71EDC694-223B-E1D8-BDCB-92625DA66FE8}"/>
            </a:ext>
          </a:extLst>
        </xdr:cNvPr>
        <xdr:cNvCxnSpPr/>
      </xdr:nvCxnSpPr>
      <xdr:spPr>
        <a:xfrm>
          <a:off x="24913589" y="8928100"/>
          <a:ext cx="4177032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19051</xdr:colOff>
      <xdr:row>18</xdr:row>
      <xdr:rowOff>203200</xdr:rowOff>
    </xdr:from>
    <xdr:to>
      <xdr:col>95</xdr:col>
      <xdr:colOff>279401</xdr:colOff>
      <xdr:row>18</xdr:row>
      <xdr:rowOff>203200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403E7230-2084-8EAC-4A31-B3A4960C8007}"/>
            </a:ext>
          </a:extLst>
        </xdr:cNvPr>
        <xdr:cNvCxnSpPr/>
      </xdr:nvCxnSpPr>
      <xdr:spPr>
        <a:xfrm>
          <a:off x="29135071" y="9690100"/>
          <a:ext cx="633349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19051</xdr:colOff>
      <xdr:row>19</xdr:row>
      <xdr:rowOff>203200</xdr:rowOff>
    </xdr:from>
    <xdr:to>
      <xdr:col>109</xdr:col>
      <xdr:colOff>279399</xdr:colOff>
      <xdr:row>19</xdr:row>
      <xdr:rowOff>203200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77DC16BF-1DC7-F695-C4F2-9B6B92307EC1}"/>
            </a:ext>
          </a:extLst>
        </xdr:cNvPr>
        <xdr:cNvCxnSpPr/>
      </xdr:nvCxnSpPr>
      <xdr:spPr>
        <a:xfrm>
          <a:off x="35513011" y="10452100"/>
          <a:ext cx="4154168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19049</xdr:colOff>
      <xdr:row>20</xdr:row>
      <xdr:rowOff>203200</xdr:rowOff>
    </xdr:from>
    <xdr:to>
      <xdr:col>123</xdr:col>
      <xdr:colOff>279401</xdr:colOff>
      <xdr:row>20</xdr:row>
      <xdr:rowOff>203200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1A54D43F-850B-8973-749E-C6E5474711AF}"/>
            </a:ext>
          </a:extLst>
        </xdr:cNvPr>
        <xdr:cNvCxnSpPr/>
      </xdr:nvCxnSpPr>
      <xdr:spPr>
        <a:xfrm>
          <a:off x="39711629" y="11214100"/>
          <a:ext cx="4199892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19051</xdr:colOff>
      <xdr:row>21</xdr:row>
      <xdr:rowOff>203200</xdr:rowOff>
    </xdr:from>
    <xdr:to>
      <xdr:col>137</xdr:col>
      <xdr:colOff>279401</xdr:colOff>
      <xdr:row>21</xdr:row>
      <xdr:rowOff>203200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B54CCD7B-866E-CA9E-6D55-5DA60EF0C1C2}"/>
            </a:ext>
          </a:extLst>
        </xdr:cNvPr>
        <xdr:cNvCxnSpPr/>
      </xdr:nvCxnSpPr>
      <xdr:spPr>
        <a:xfrm>
          <a:off x="43955971" y="11976100"/>
          <a:ext cx="422275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19051</xdr:colOff>
      <xdr:row>22</xdr:row>
      <xdr:rowOff>203200</xdr:rowOff>
    </xdr:from>
    <xdr:to>
      <xdr:col>159</xdr:col>
      <xdr:colOff>279401</xdr:colOff>
      <xdr:row>22</xdr:row>
      <xdr:rowOff>203200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292FD316-5D32-A9A4-598E-5F4AC9FAEBE0}"/>
            </a:ext>
          </a:extLst>
        </xdr:cNvPr>
        <xdr:cNvCxnSpPr/>
      </xdr:nvCxnSpPr>
      <xdr:spPr>
        <a:xfrm>
          <a:off x="48223171" y="12738100"/>
          <a:ext cx="6661150" cy="0"/>
        </a:xfrm>
        <a:prstGeom prst="straightConnector1">
          <a:avLst/>
        </a:prstGeom>
        <a:ln w="38100">
          <a:solidFill>
            <a:srgbClr val="156082"/>
          </a:solidFill>
          <a:headEnd type="non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CDCE-14BB-4E1E-8D8F-50B8931AC441}">
  <dimension ref="A1:GJ66"/>
  <sheetViews>
    <sheetView showGridLines="0" tabSelected="1" zoomScale="40" zoomScaleNormal="40" workbookViewId="0">
      <selection activeCell="B10" sqref="B10:I23"/>
    </sheetView>
  </sheetViews>
  <sheetFormatPr defaultColWidth="8.796875" defaultRowHeight="18" x14ac:dyDescent="0.45"/>
  <cols>
    <col min="1" max="1" width="4.296875" style="28" customWidth="1"/>
    <col min="2" max="2" width="5.19921875" customWidth="1"/>
    <col min="3" max="3" width="30.796875" style="30" customWidth="1"/>
    <col min="4" max="4" width="9.296875" style="35" customWidth="1"/>
    <col min="5" max="8" width="15.796875" style="25" customWidth="1"/>
    <col min="9" max="9" width="11" customWidth="1"/>
    <col min="10" max="10" width="4.296875" bestFit="1" customWidth="1"/>
    <col min="11" max="15" width="4" bestFit="1" customWidth="1"/>
    <col min="16" max="21" width="3.69921875" bestFit="1" customWidth="1"/>
    <col min="22" max="22" width="3.69921875" customWidth="1"/>
    <col min="23" max="24" width="3.69921875" bestFit="1" customWidth="1"/>
    <col min="25" max="46" width="4" bestFit="1" customWidth="1"/>
    <col min="47" max="55" width="3.69921875" bestFit="1" customWidth="1"/>
    <col min="56" max="73" width="4" bestFit="1" customWidth="1"/>
    <col min="74" max="74" width="3.69921875" customWidth="1"/>
    <col min="75" max="76" width="3.69921875" bestFit="1" customWidth="1"/>
    <col min="77" max="99" width="4" bestFit="1" customWidth="1"/>
    <col min="100" max="100" width="3.69921875" customWidth="1"/>
    <col min="101" max="102" width="3.69921875" bestFit="1" customWidth="1"/>
    <col min="103" max="122" width="4" bestFit="1" customWidth="1"/>
    <col min="123" max="123" width="3.69921875" bestFit="1" customWidth="1"/>
    <col min="124" max="171" width="4" bestFit="1" customWidth="1"/>
    <col min="172" max="172" width="4" customWidth="1"/>
    <col min="173" max="191" width="4" bestFit="1" customWidth="1"/>
  </cols>
  <sheetData>
    <row r="1" spans="1:192" ht="18.600000000000001" thickBot="1" x14ac:dyDescent="0.5">
      <c r="A1" s="26"/>
      <c r="B1" s="1"/>
      <c r="C1" s="29"/>
      <c r="D1" s="37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</row>
    <row r="2" spans="1:192" ht="19.5" customHeight="1" thickBot="1" x14ac:dyDescent="0.5">
      <c r="A2" s="26"/>
      <c r="B2" s="67" t="s">
        <v>5</v>
      </c>
      <c r="C2" s="67"/>
      <c r="D2" s="80" t="s">
        <v>12</v>
      </c>
      <c r="E2" s="80"/>
      <c r="F2" s="80"/>
      <c r="G2" s="80"/>
      <c r="H2" s="80"/>
      <c r="I2" s="80"/>
      <c r="J2" s="64" t="s">
        <v>2</v>
      </c>
      <c r="K2" s="65"/>
      <c r="L2" s="65"/>
      <c r="M2" s="66"/>
      <c r="N2" s="82">
        <v>46296</v>
      </c>
      <c r="O2" s="83"/>
      <c r="P2" s="83"/>
      <c r="Q2" s="83"/>
      <c r="R2" s="84"/>
      <c r="U2" s="64" t="s">
        <v>8</v>
      </c>
      <c r="V2" s="65"/>
      <c r="W2" s="65"/>
      <c r="X2" s="66"/>
      <c r="Y2" s="1"/>
      <c r="Z2" s="1"/>
      <c r="AA2" s="1"/>
      <c r="AB2" s="1"/>
      <c r="AC2" s="1"/>
      <c r="AE2" s="64" t="s">
        <v>9</v>
      </c>
      <c r="AF2" s="65"/>
      <c r="AG2" s="65"/>
      <c r="AH2" s="66"/>
      <c r="AJ2" s="1" t="s">
        <v>11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8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8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</row>
    <row r="3" spans="1:192" ht="19.5" customHeight="1" thickBot="1" x14ac:dyDescent="0.5">
      <c r="A3" s="26"/>
      <c r="B3" s="67"/>
      <c r="C3" s="67"/>
      <c r="D3" s="81"/>
      <c r="E3" s="81"/>
      <c r="F3" s="81"/>
      <c r="G3" s="81"/>
      <c r="H3" s="81"/>
      <c r="I3" s="81"/>
      <c r="J3" s="64" t="s">
        <v>3</v>
      </c>
      <c r="K3" s="65"/>
      <c r="L3" s="65"/>
      <c r="M3" s="66"/>
      <c r="N3" s="82">
        <v>46477</v>
      </c>
      <c r="O3" s="83"/>
      <c r="P3" s="83"/>
      <c r="Q3" s="83"/>
      <c r="R3" s="84"/>
      <c r="U3" s="64" t="s">
        <v>7</v>
      </c>
      <c r="V3" s="65"/>
      <c r="W3" s="65"/>
      <c r="X3" s="66"/>
      <c r="Y3" s="1"/>
      <c r="Z3" s="1"/>
      <c r="AA3" s="1"/>
      <c r="AB3" s="1"/>
      <c r="AC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8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8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</row>
    <row r="4" spans="1:192" x14ac:dyDescent="0.45">
      <c r="A4" s="26"/>
      <c r="B4" s="1"/>
      <c r="C4" s="29"/>
      <c r="D4" s="37"/>
      <c r="E4" s="23"/>
      <c r="F4" s="23"/>
      <c r="G4" s="23"/>
      <c r="H4" s="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</row>
    <row r="5" spans="1:192" x14ac:dyDescent="0.45">
      <c r="A5" s="26"/>
      <c r="B5" s="1"/>
      <c r="C5" s="29"/>
      <c r="D5" s="37"/>
      <c r="E5" s="23"/>
      <c r="F5" s="23"/>
      <c r="G5" s="23"/>
      <c r="H5" s="23"/>
      <c r="I5" s="1"/>
      <c r="J5" s="51">
        <v>2026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>
        <v>2027</v>
      </c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</row>
    <row r="6" spans="1:192" x14ac:dyDescent="0.45">
      <c r="A6" s="26"/>
      <c r="B6" s="68" t="s">
        <v>0</v>
      </c>
      <c r="C6" s="52" t="s">
        <v>6</v>
      </c>
      <c r="D6" s="71" t="s">
        <v>1</v>
      </c>
      <c r="E6" s="72" t="s">
        <v>10</v>
      </c>
      <c r="F6" s="72"/>
      <c r="G6" s="55" t="s">
        <v>7</v>
      </c>
      <c r="H6" s="56"/>
      <c r="I6" s="73" t="s">
        <v>4</v>
      </c>
      <c r="J6" s="59">
        <f>N2</f>
        <v>46296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1"/>
      <c r="AO6" s="62">
        <f t="shared" ref="AO6:BS6" si="0">IF(DAY(AO7)=1,AO7,"")</f>
        <v>46327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1"/>
      <c r="BS6" s="62">
        <f t="shared" si="0"/>
        <v>46357</v>
      </c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1"/>
      <c r="CX6" s="62">
        <f t="shared" ref="CX6:EC6" si="1">IF(DAY(CX7)=1,CX7,"")</f>
        <v>46388</v>
      </c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1"/>
      <c r="EC6" s="62">
        <f t="shared" si="1"/>
        <v>46419</v>
      </c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1"/>
      <c r="FE6" s="62">
        <f t="shared" ref="FE6" si="2">IF(DAY(FE7)=1,FE7,"")</f>
        <v>46447</v>
      </c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3"/>
      <c r="GJ6" s="19"/>
    </row>
    <row r="7" spans="1:192" x14ac:dyDescent="0.45">
      <c r="A7" s="27"/>
      <c r="B7" s="69"/>
      <c r="C7" s="53"/>
      <c r="D7" s="71"/>
      <c r="E7" s="76" t="s">
        <v>2</v>
      </c>
      <c r="F7" s="78" t="s">
        <v>3</v>
      </c>
      <c r="G7" s="57" t="s">
        <v>2</v>
      </c>
      <c r="H7" s="57" t="s">
        <v>3</v>
      </c>
      <c r="I7" s="74"/>
      <c r="J7" s="12">
        <f>N2</f>
        <v>46296</v>
      </c>
      <c r="K7" s="2">
        <f t="shared" ref="K7:BV7" si="3">J7+1</f>
        <v>46297</v>
      </c>
      <c r="L7" s="2">
        <f t="shared" si="3"/>
        <v>46298</v>
      </c>
      <c r="M7" s="2">
        <f t="shared" si="3"/>
        <v>46299</v>
      </c>
      <c r="N7" s="2">
        <f t="shared" si="3"/>
        <v>46300</v>
      </c>
      <c r="O7" s="2">
        <f t="shared" si="3"/>
        <v>46301</v>
      </c>
      <c r="P7" s="2">
        <f t="shared" si="3"/>
        <v>46302</v>
      </c>
      <c r="Q7" s="2">
        <f t="shared" si="3"/>
        <v>46303</v>
      </c>
      <c r="R7" s="2">
        <f t="shared" si="3"/>
        <v>46304</v>
      </c>
      <c r="S7" s="2">
        <f t="shared" si="3"/>
        <v>46305</v>
      </c>
      <c r="T7" s="2">
        <f t="shared" si="3"/>
        <v>46306</v>
      </c>
      <c r="U7" s="2">
        <f t="shared" si="3"/>
        <v>46307</v>
      </c>
      <c r="V7" s="2">
        <f t="shared" si="3"/>
        <v>46308</v>
      </c>
      <c r="W7" s="2">
        <f t="shared" si="3"/>
        <v>46309</v>
      </c>
      <c r="X7" s="2">
        <f t="shared" si="3"/>
        <v>46310</v>
      </c>
      <c r="Y7" s="2">
        <f t="shared" si="3"/>
        <v>46311</v>
      </c>
      <c r="Z7" s="2">
        <f t="shared" si="3"/>
        <v>46312</v>
      </c>
      <c r="AA7" s="2">
        <f t="shared" si="3"/>
        <v>46313</v>
      </c>
      <c r="AB7" s="2">
        <f t="shared" si="3"/>
        <v>46314</v>
      </c>
      <c r="AC7" s="2">
        <f t="shared" si="3"/>
        <v>46315</v>
      </c>
      <c r="AD7" s="2">
        <f t="shared" si="3"/>
        <v>46316</v>
      </c>
      <c r="AE7" s="2">
        <f t="shared" si="3"/>
        <v>46317</v>
      </c>
      <c r="AF7" s="2">
        <f t="shared" si="3"/>
        <v>46318</v>
      </c>
      <c r="AG7" s="2">
        <f t="shared" si="3"/>
        <v>46319</v>
      </c>
      <c r="AH7" s="2">
        <f t="shared" si="3"/>
        <v>46320</v>
      </c>
      <c r="AI7" s="2">
        <f t="shared" si="3"/>
        <v>46321</v>
      </c>
      <c r="AJ7" s="2">
        <f t="shared" si="3"/>
        <v>46322</v>
      </c>
      <c r="AK7" s="2">
        <f t="shared" si="3"/>
        <v>46323</v>
      </c>
      <c r="AL7" s="2">
        <f t="shared" si="3"/>
        <v>46324</v>
      </c>
      <c r="AM7" s="2">
        <f t="shared" si="3"/>
        <v>46325</v>
      </c>
      <c r="AN7" s="2">
        <f t="shared" si="3"/>
        <v>46326</v>
      </c>
      <c r="AO7" s="2">
        <f t="shared" si="3"/>
        <v>46327</v>
      </c>
      <c r="AP7" s="2">
        <f t="shared" si="3"/>
        <v>46328</v>
      </c>
      <c r="AQ7" s="2">
        <f t="shared" si="3"/>
        <v>46329</v>
      </c>
      <c r="AR7" s="2">
        <f t="shared" si="3"/>
        <v>46330</v>
      </c>
      <c r="AS7" s="2">
        <f t="shared" si="3"/>
        <v>46331</v>
      </c>
      <c r="AT7" s="2">
        <f t="shared" si="3"/>
        <v>46332</v>
      </c>
      <c r="AU7" s="2">
        <f t="shared" si="3"/>
        <v>46333</v>
      </c>
      <c r="AV7" s="2">
        <f t="shared" si="3"/>
        <v>46334</v>
      </c>
      <c r="AW7" s="2">
        <f t="shared" si="3"/>
        <v>46335</v>
      </c>
      <c r="AX7" s="2">
        <f t="shared" si="3"/>
        <v>46336</v>
      </c>
      <c r="AY7" s="2">
        <f t="shared" si="3"/>
        <v>46337</v>
      </c>
      <c r="AZ7" s="2">
        <f t="shared" si="3"/>
        <v>46338</v>
      </c>
      <c r="BA7" s="2">
        <f t="shared" si="3"/>
        <v>46339</v>
      </c>
      <c r="BB7" s="2">
        <f t="shared" si="3"/>
        <v>46340</v>
      </c>
      <c r="BC7" s="2">
        <f t="shared" si="3"/>
        <v>46341</v>
      </c>
      <c r="BD7" s="2">
        <f t="shared" si="3"/>
        <v>46342</v>
      </c>
      <c r="BE7" s="2">
        <f t="shared" si="3"/>
        <v>46343</v>
      </c>
      <c r="BF7" s="2">
        <f t="shared" si="3"/>
        <v>46344</v>
      </c>
      <c r="BG7" s="2">
        <f t="shared" si="3"/>
        <v>46345</v>
      </c>
      <c r="BH7" s="2">
        <f t="shared" si="3"/>
        <v>46346</v>
      </c>
      <c r="BI7" s="2">
        <f t="shared" si="3"/>
        <v>46347</v>
      </c>
      <c r="BJ7" s="2">
        <f t="shared" si="3"/>
        <v>46348</v>
      </c>
      <c r="BK7" s="2">
        <f t="shared" si="3"/>
        <v>46349</v>
      </c>
      <c r="BL7" s="2">
        <f t="shared" si="3"/>
        <v>46350</v>
      </c>
      <c r="BM7" s="2">
        <f t="shared" si="3"/>
        <v>46351</v>
      </c>
      <c r="BN7" s="2">
        <f t="shared" si="3"/>
        <v>46352</v>
      </c>
      <c r="BO7" s="2">
        <f t="shared" si="3"/>
        <v>46353</v>
      </c>
      <c r="BP7" s="2">
        <f t="shared" si="3"/>
        <v>46354</v>
      </c>
      <c r="BQ7" s="2">
        <f t="shared" si="3"/>
        <v>46355</v>
      </c>
      <c r="BR7" s="14">
        <f t="shared" si="3"/>
        <v>46356</v>
      </c>
      <c r="BS7" s="12">
        <f t="shared" si="3"/>
        <v>46357</v>
      </c>
      <c r="BT7" s="2">
        <f t="shared" si="3"/>
        <v>46358</v>
      </c>
      <c r="BU7" s="2">
        <f t="shared" si="3"/>
        <v>46359</v>
      </c>
      <c r="BV7" s="2">
        <f t="shared" si="3"/>
        <v>46360</v>
      </c>
      <c r="BW7" s="2">
        <f t="shared" ref="BW7:EH7" si="4">BV7+1</f>
        <v>46361</v>
      </c>
      <c r="BX7" s="2">
        <f t="shared" si="4"/>
        <v>46362</v>
      </c>
      <c r="BY7" s="2">
        <f t="shared" si="4"/>
        <v>46363</v>
      </c>
      <c r="BZ7" s="2">
        <f t="shared" si="4"/>
        <v>46364</v>
      </c>
      <c r="CA7" s="2">
        <f t="shared" si="4"/>
        <v>46365</v>
      </c>
      <c r="CB7" s="2">
        <f t="shared" si="4"/>
        <v>46366</v>
      </c>
      <c r="CC7" s="2">
        <f t="shared" si="4"/>
        <v>46367</v>
      </c>
      <c r="CD7" s="2">
        <f t="shared" si="4"/>
        <v>46368</v>
      </c>
      <c r="CE7" s="2">
        <f t="shared" si="4"/>
        <v>46369</v>
      </c>
      <c r="CF7" s="2">
        <f t="shared" si="4"/>
        <v>46370</v>
      </c>
      <c r="CG7" s="2">
        <f t="shared" si="4"/>
        <v>46371</v>
      </c>
      <c r="CH7" s="2">
        <f t="shared" si="4"/>
        <v>46372</v>
      </c>
      <c r="CI7" s="2">
        <f t="shared" si="4"/>
        <v>46373</v>
      </c>
      <c r="CJ7" s="2">
        <f t="shared" si="4"/>
        <v>46374</v>
      </c>
      <c r="CK7" s="2">
        <f t="shared" si="4"/>
        <v>46375</v>
      </c>
      <c r="CL7" s="2">
        <f t="shared" si="4"/>
        <v>46376</v>
      </c>
      <c r="CM7" s="2">
        <f t="shared" si="4"/>
        <v>46377</v>
      </c>
      <c r="CN7" s="2">
        <f t="shared" si="4"/>
        <v>46378</v>
      </c>
      <c r="CO7" s="2">
        <f t="shared" si="4"/>
        <v>46379</v>
      </c>
      <c r="CP7" s="2">
        <f t="shared" si="4"/>
        <v>46380</v>
      </c>
      <c r="CQ7" s="2">
        <f t="shared" si="4"/>
        <v>46381</v>
      </c>
      <c r="CR7" s="2">
        <f t="shared" si="4"/>
        <v>46382</v>
      </c>
      <c r="CS7" s="2">
        <f t="shared" si="4"/>
        <v>46383</v>
      </c>
      <c r="CT7" s="2">
        <f t="shared" si="4"/>
        <v>46384</v>
      </c>
      <c r="CU7" s="2">
        <f t="shared" si="4"/>
        <v>46385</v>
      </c>
      <c r="CV7" s="2">
        <f t="shared" si="4"/>
        <v>46386</v>
      </c>
      <c r="CW7" s="2">
        <f t="shared" si="4"/>
        <v>46387</v>
      </c>
      <c r="CX7" s="2">
        <f t="shared" si="4"/>
        <v>46388</v>
      </c>
      <c r="CY7" s="2">
        <f t="shared" si="4"/>
        <v>46389</v>
      </c>
      <c r="CZ7" s="2">
        <f t="shared" si="4"/>
        <v>46390</v>
      </c>
      <c r="DA7" s="2">
        <f t="shared" si="4"/>
        <v>46391</v>
      </c>
      <c r="DB7" s="2">
        <f t="shared" si="4"/>
        <v>46392</v>
      </c>
      <c r="DC7" s="2">
        <f t="shared" si="4"/>
        <v>46393</v>
      </c>
      <c r="DD7" s="2">
        <f t="shared" si="4"/>
        <v>46394</v>
      </c>
      <c r="DE7" s="2">
        <f t="shared" si="4"/>
        <v>46395</v>
      </c>
      <c r="DF7" s="2">
        <f t="shared" si="4"/>
        <v>46396</v>
      </c>
      <c r="DG7" s="2">
        <f t="shared" si="4"/>
        <v>46397</v>
      </c>
      <c r="DH7" s="2">
        <f t="shared" si="4"/>
        <v>46398</v>
      </c>
      <c r="DI7" s="2">
        <f t="shared" si="4"/>
        <v>46399</v>
      </c>
      <c r="DJ7" s="2">
        <f t="shared" si="4"/>
        <v>46400</v>
      </c>
      <c r="DK7" s="2">
        <f t="shared" si="4"/>
        <v>46401</v>
      </c>
      <c r="DL7" s="2">
        <f t="shared" si="4"/>
        <v>46402</v>
      </c>
      <c r="DM7" s="2">
        <f t="shared" si="4"/>
        <v>46403</v>
      </c>
      <c r="DN7" s="2">
        <f t="shared" si="4"/>
        <v>46404</v>
      </c>
      <c r="DO7" s="2">
        <f t="shared" si="4"/>
        <v>46405</v>
      </c>
      <c r="DP7" s="2">
        <f t="shared" si="4"/>
        <v>46406</v>
      </c>
      <c r="DQ7" s="2">
        <f t="shared" si="4"/>
        <v>46407</v>
      </c>
      <c r="DR7" s="2">
        <f t="shared" si="4"/>
        <v>46408</v>
      </c>
      <c r="DS7" s="2">
        <f t="shared" si="4"/>
        <v>46409</v>
      </c>
      <c r="DT7" s="2">
        <f t="shared" si="4"/>
        <v>46410</v>
      </c>
      <c r="DU7" s="2">
        <f t="shared" si="4"/>
        <v>46411</v>
      </c>
      <c r="DV7" s="2">
        <f t="shared" si="4"/>
        <v>46412</v>
      </c>
      <c r="DW7" s="2">
        <f t="shared" si="4"/>
        <v>46413</v>
      </c>
      <c r="DX7" s="2">
        <f t="shared" si="4"/>
        <v>46414</v>
      </c>
      <c r="DY7" s="2">
        <f t="shared" si="4"/>
        <v>46415</v>
      </c>
      <c r="DZ7" s="2">
        <f t="shared" si="4"/>
        <v>46416</v>
      </c>
      <c r="EA7" s="2">
        <f t="shared" si="4"/>
        <v>46417</v>
      </c>
      <c r="EB7" s="2">
        <f t="shared" si="4"/>
        <v>46418</v>
      </c>
      <c r="EC7" s="2">
        <f t="shared" si="4"/>
        <v>46419</v>
      </c>
      <c r="ED7" s="2">
        <f t="shared" si="4"/>
        <v>46420</v>
      </c>
      <c r="EE7" s="2">
        <f t="shared" si="4"/>
        <v>46421</v>
      </c>
      <c r="EF7" s="2">
        <f t="shared" si="4"/>
        <v>46422</v>
      </c>
      <c r="EG7" s="2">
        <f t="shared" si="4"/>
        <v>46423</v>
      </c>
      <c r="EH7" s="2">
        <f t="shared" si="4"/>
        <v>46424</v>
      </c>
      <c r="EI7" s="2">
        <f t="shared" ref="EI7:GI7" si="5">EH7+1</f>
        <v>46425</v>
      </c>
      <c r="EJ7" s="2">
        <f t="shared" si="5"/>
        <v>46426</v>
      </c>
      <c r="EK7" s="2">
        <f t="shared" si="5"/>
        <v>46427</v>
      </c>
      <c r="EL7" s="2">
        <f t="shared" si="5"/>
        <v>46428</v>
      </c>
      <c r="EM7" s="2">
        <f t="shared" si="5"/>
        <v>46429</v>
      </c>
      <c r="EN7" s="2">
        <f t="shared" si="5"/>
        <v>46430</v>
      </c>
      <c r="EO7" s="2">
        <f t="shared" si="5"/>
        <v>46431</v>
      </c>
      <c r="EP7" s="2">
        <f t="shared" si="5"/>
        <v>46432</v>
      </c>
      <c r="EQ7" s="2">
        <f t="shared" si="5"/>
        <v>46433</v>
      </c>
      <c r="ER7" s="2">
        <f t="shared" si="5"/>
        <v>46434</v>
      </c>
      <c r="ES7" s="2">
        <f t="shared" si="5"/>
        <v>46435</v>
      </c>
      <c r="ET7" s="2">
        <f t="shared" si="5"/>
        <v>46436</v>
      </c>
      <c r="EU7" s="2">
        <f t="shared" si="5"/>
        <v>46437</v>
      </c>
      <c r="EV7" s="2">
        <f t="shared" si="5"/>
        <v>46438</v>
      </c>
      <c r="EW7" s="2">
        <f t="shared" si="5"/>
        <v>46439</v>
      </c>
      <c r="EX7" s="2">
        <f t="shared" si="5"/>
        <v>46440</v>
      </c>
      <c r="EY7" s="2">
        <f t="shared" si="5"/>
        <v>46441</v>
      </c>
      <c r="EZ7" s="2">
        <f t="shared" si="5"/>
        <v>46442</v>
      </c>
      <c r="FA7" s="2">
        <f t="shared" si="5"/>
        <v>46443</v>
      </c>
      <c r="FB7" s="2">
        <f t="shared" si="5"/>
        <v>46444</v>
      </c>
      <c r="FC7" s="2">
        <f t="shared" si="5"/>
        <v>46445</v>
      </c>
      <c r="FD7" s="2">
        <f t="shared" si="5"/>
        <v>46446</v>
      </c>
      <c r="FE7" s="2">
        <f t="shared" si="5"/>
        <v>46447</v>
      </c>
      <c r="FF7" s="2">
        <f t="shared" si="5"/>
        <v>46448</v>
      </c>
      <c r="FG7" s="2">
        <f t="shared" si="5"/>
        <v>46449</v>
      </c>
      <c r="FH7" s="2">
        <f t="shared" si="5"/>
        <v>46450</v>
      </c>
      <c r="FI7" s="2">
        <f t="shared" si="5"/>
        <v>46451</v>
      </c>
      <c r="FJ7" s="2">
        <f t="shared" si="5"/>
        <v>46452</v>
      </c>
      <c r="FK7" s="2">
        <f t="shared" si="5"/>
        <v>46453</v>
      </c>
      <c r="FL7" s="2">
        <f t="shared" si="5"/>
        <v>46454</v>
      </c>
      <c r="FM7" s="2">
        <f t="shared" si="5"/>
        <v>46455</v>
      </c>
      <c r="FN7" s="2">
        <f t="shared" si="5"/>
        <v>46456</v>
      </c>
      <c r="FO7" s="2">
        <f t="shared" si="5"/>
        <v>46457</v>
      </c>
      <c r="FP7" s="2">
        <f t="shared" si="5"/>
        <v>46458</v>
      </c>
      <c r="FQ7" s="2">
        <f t="shared" si="5"/>
        <v>46459</v>
      </c>
      <c r="FR7" s="2">
        <f t="shared" si="5"/>
        <v>46460</v>
      </c>
      <c r="FS7" s="2">
        <f t="shared" si="5"/>
        <v>46461</v>
      </c>
      <c r="FT7" s="2">
        <f t="shared" si="5"/>
        <v>46462</v>
      </c>
      <c r="FU7" s="2">
        <f t="shared" si="5"/>
        <v>46463</v>
      </c>
      <c r="FV7" s="2">
        <f t="shared" si="5"/>
        <v>46464</v>
      </c>
      <c r="FW7" s="2">
        <f t="shared" si="5"/>
        <v>46465</v>
      </c>
      <c r="FX7" s="2">
        <f t="shared" si="5"/>
        <v>46466</v>
      </c>
      <c r="FY7" s="2">
        <f t="shared" si="5"/>
        <v>46467</v>
      </c>
      <c r="FZ7" s="2">
        <f t="shared" si="5"/>
        <v>46468</v>
      </c>
      <c r="GA7" s="2">
        <f t="shared" si="5"/>
        <v>46469</v>
      </c>
      <c r="GB7" s="2">
        <f t="shared" si="5"/>
        <v>46470</v>
      </c>
      <c r="GC7" s="2">
        <f t="shared" si="5"/>
        <v>46471</v>
      </c>
      <c r="GD7" s="2">
        <f t="shared" si="5"/>
        <v>46472</v>
      </c>
      <c r="GE7" s="2">
        <f t="shared" si="5"/>
        <v>46473</v>
      </c>
      <c r="GF7" s="2">
        <f t="shared" si="5"/>
        <v>46474</v>
      </c>
      <c r="GG7" s="2">
        <f t="shared" si="5"/>
        <v>46475</v>
      </c>
      <c r="GH7" s="2">
        <f t="shared" si="5"/>
        <v>46476</v>
      </c>
      <c r="GI7" s="14">
        <f t="shared" si="5"/>
        <v>46477</v>
      </c>
    </row>
    <row r="8" spans="1:192" x14ac:dyDescent="0.45">
      <c r="A8" s="26"/>
      <c r="B8" s="70"/>
      <c r="C8" s="54"/>
      <c r="D8" s="71"/>
      <c r="E8" s="77"/>
      <c r="F8" s="79"/>
      <c r="G8" s="58"/>
      <c r="H8" s="58"/>
      <c r="I8" s="75"/>
      <c r="J8" s="13" t="str">
        <f>TEXT(J7,"aaa")</f>
        <v>木</v>
      </c>
      <c r="K8" s="9" t="str">
        <f t="shared" ref="K8:BV8" si="6">TEXT(K7,"aaa")</f>
        <v>金</v>
      </c>
      <c r="L8" s="9" t="str">
        <f t="shared" si="6"/>
        <v>土</v>
      </c>
      <c r="M8" s="9" t="str">
        <f t="shared" si="6"/>
        <v>日</v>
      </c>
      <c r="N8" s="9" t="str">
        <f t="shared" si="6"/>
        <v>月</v>
      </c>
      <c r="O8" s="9" t="str">
        <f t="shared" si="6"/>
        <v>火</v>
      </c>
      <c r="P8" s="9" t="str">
        <f t="shared" si="6"/>
        <v>水</v>
      </c>
      <c r="Q8" s="9" t="str">
        <f t="shared" si="6"/>
        <v>木</v>
      </c>
      <c r="R8" s="9" t="str">
        <f t="shared" si="6"/>
        <v>金</v>
      </c>
      <c r="S8" s="9" t="str">
        <f t="shared" si="6"/>
        <v>土</v>
      </c>
      <c r="T8" s="9" t="str">
        <f t="shared" si="6"/>
        <v>日</v>
      </c>
      <c r="U8" s="9" t="str">
        <f t="shared" si="6"/>
        <v>月</v>
      </c>
      <c r="V8" s="9" t="str">
        <f t="shared" si="6"/>
        <v>火</v>
      </c>
      <c r="W8" s="9" t="str">
        <f t="shared" si="6"/>
        <v>水</v>
      </c>
      <c r="X8" s="9" t="str">
        <f t="shared" si="6"/>
        <v>木</v>
      </c>
      <c r="Y8" s="9" t="str">
        <f t="shared" si="6"/>
        <v>金</v>
      </c>
      <c r="Z8" s="9" t="str">
        <f t="shared" si="6"/>
        <v>土</v>
      </c>
      <c r="AA8" s="9" t="str">
        <f t="shared" si="6"/>
        <v>日</v>
      </c>
      <c r="AB8" s="9" t="str">
        <f t="shared" si="6"/>
        <v>月</v>
      </c>
      <c r="AC8" s="9" t="str">
        <f t="shared" si="6"/>
        <v>火</v>
      </c>
      <c r="AD8" s="9" t="str">
        <f t="shared" si="6"/>
        <v>水</v>
      </c>
      <c r="AE8" s="9" t="str">
        <f t="shared" si="6"/>
        <v>木</v>
      </c>
      <c r="AF8" s="9" t="str">
        <f t="shared" si="6"/>
        <v>金</v>
      </c>
      <c r="AG8" s="9" t="str">
        <f t="shared" si="6"/>
        <v>土</v>
      </c>
      <c r="AH8" s="9" t="str">
        <f t="shared" si="6"/>
        <v>日</v>
      </c>
      <c r="AI8" s="9" t="str">
        <f t="shared" si="6"/>
        <v>月</v>
      </c>
      <c r="AJ8" s="9" t="str">
        <f t="shared" si="6"/>
        <v>火</v>
      </c>
      <c r="AK8" s="9" t="str">
        <f t="shared" si="6"/>
        <v>水</v>
      </c>
      <c r="AL8" s="9" t="str">
        <f t="shared" si="6"/>
        <v>木</v>
      </c>
      <c r="AM8" s="9" t="str">
        <f t="shared" si="6"/>
        <v>金</v>
      </c>
      <c r="AN8" s="15" t="str">
        <f t="shared" si="6"/>
        <v>土</v>
      </c>
      <c r="AO8" s="13" t="str">
        <f t="shared" si="6"/>
        <v>日</v>
      </c>
      <c r="AP8" s="9" t="str">
        <f t="shared" si="6"/>
        <v>月</v>
      </c>
      <c r="AQ8" s="9" t="str">
        <f t="shared" si="6"/>
        <v>火</v>
      </c>
      <c r="AR8" s="9" t="str">
        <f t="shared" si="6"/>
        <v>水</v>
      </c>
      <c r="AS8" s="9" t="str">
        <f t="shared" si="6"/>
        <v>木</v>
      </c>
      <c r="AT8" s="9" t="str">
        <f t="shared" si="6"/>
        <v>金</v>
      </c>
      <c r="AU8" s="9" t="str">
        <f t="shared" si="6"/>
        <v>土</v>
      </c>
      <c r="AV8" s="9" t="str">
        <f t="shared" si="6"/>
        <v>日</v>
      </c>
      <c r="AW8" s="9" t="str">
        <f t="shared" si="6"/>
        <v>月</v>
      </c>
      <c r="AX8" s="9" t="str">
        <f t="shared" si="6"/>
        <v>火</v>
      </c>
      <c r="AY8" s="9" t="str">
        <f t="shared" si="6"/>
        <v>水</v>
      </c>
      <c r="AZ8" s="9" t="str">
        <f t="shared" si="6"/>
        <v>木</v>
      </c>
      <c r="BA8" s="9" t="str">
        <f t="shared" si="6"/>
        <v>金</v>
      </c>
      <c r="BB8" s="9" t="str">
        <f t="shared" si="6"/>
        <v>土</v>
      </c>
      <c r="BC8" s="9" t="str">
        <f t="shared" si="6"/>
        <v>日</v>
      </c>
      <c r="BD8" s="9" t="str">
        <f t="shared" si="6"/>
        <v>月</v>
      </c>
      <c r="BE8" s="9" t="str">
        <f t="shared" si="6"/>
        <v>火</v>
      </c>
      <c r="BF8" s="9" t="str">
        <f t="shared" si="6"/>
        <v>水</v>
      </c>
      <c r="BG8" s="9" t="str">
        <f t="shared" si="6"/>
        <v>木</v>
      </c>
      <c r="BH8" s="9" t="str">
        <f t="shared" si="6"/>
        <v>金</v>
      </c>
      <c r="BI8" s="9" t="str">
        <f t="shared" si="6"/>
        <v>土</v>
      </c>
      <c r="BJ8" s="9" t="str">
        <f t="shared" si="6"/>
        <v>日</v>
      </c>
      <c r="BK8" s="9" t="str">
        <f t="shared" si="6"/>
        <v>月</v>
      </c>
      <c r="BL8" s="9" t="str">
        <f t="shared" si="6"/>
        <v>火</v>
      </c>
      <c r="BM8" s="9" t="str">
        <f t="shared" si="6"/>
        <v>水</v>
      </c>
      <c r="BN8" s="9" t="str">
        <f t="shared" si="6"/>
        <v>木</v>
      </c>
      <c r="BO8" s="9" t="str">
        <f t="shared" si="6"/>
        <v>金</v>
      </c>
      <c r="BP8" s="9" t="str">
        <f t="shared" si="6"/>
        <v>土</v>
      </c>
      <c r="BQ8" s="9" t="str">
        <f t="shared" si="6"/>
        <v>日</v>
      </c>
      <c r="BR8" s="15" t="str">
        <f t="shared" si="6"/>
        <v>月</v>
      </c>
      <c r="BS8" s="13" t="str">
        <f t="shared" si="6"/>
        <v>火</v>
      </c>
      <c r="BT8" s="9" t="str">
        <f t="shared" si="6"/>
        <v>水</v>
      </c>
      <c r="BU8" s="9" t="str">
        <f t="shared" si="6"/>
        <v>木</v>
      </c>
      <c r="BV8" s="9" t="str">
        <f t="shared" si="6"/>
        <v>金</v>
      </c>
      <c r="BW8" s="9" t="str">
        <f t="shared" ref="BW8:EH8" si="7">TEXT(BW7,"aaa")</f>
        <v>土</v>
      </c>
      <c r="BX8" s="9" t="str">
        <f t="shared" si="7"/>
        <v>日</v>
      </c>
      <c r="BY8" s="9" t="str">
        <f t="shared" si="7"/>
        <v>月</v>
      </c>
      <c r="BZ8" s="9" t="str">
        <f t="shared" si="7"/>
        <v>火</v>
      </c>
      <c r="CA8" s="9" t="str">
        <f t="shared" si="7"/>
        <v>水</v>
      </c>
      <c r="CB8" s="9" t="str">
        <f t="shared" si="7"/>
        <v>木</v>
      </c>
      <c r="CC8" s="9" t="str">
        <f t="shared" si="7"/>
        <v>金</v>
      </c>
      <c r="CD8" s="9" t="str">
        <f t="shared" si="7"/>
        <v>土</v>
      </c>
      <c r="CE8" s="9" t="str">
        <f t="shared" si="7"/>
        <v>日</v>
      </c>
      <c r="CF8" s="9" t="str">
        <f t="shared" si="7"/>
        <v>月</v>
      </c>
      <c r="CG8" s="9" t="str">
        <f t="shared" si="7"/>
        <v>火</v>
      </c>
      <c r="CH8" s="9" t="str">
        <f t="shared" si="7"/>
        <v>水</v>
      </c>
      <c r="CI8" s="9" t="str">
        <f t="shared" si="7"/>
        <v>木</v>
      </c>
      <c r="CJ8" s="9" t="str">
        <f t="shared" si="7"/>
        <v>金</v>
      </c>
      <c r="CK8" s="9" t="str">
        <f t="shared" si="7"/>
        <v>土</v>
      </c>
      <c r="CL8" s="9" t="str">
        <f t="shared" si="7"/>
        <v>日</v>
      </c>
      <c r="CM8" s="9" t="str">
        <f t="shared" si="7"/>
        <v>月</v>
      </c>
      <c r="CN8" s="9" t="str">
        <f t="shared" si="7"/>
        <v>火</v>
      </c>
      <c r="CO8" s="9" t="str">
        <f t="shared" si="7"/>
        <v>水</v>
      </c>
      <c r="CP8" s="9" t="str">
        <f t="shared" si="7"/>
        <v>木</v>
      </c>
      <c r="CQ8" s="9" t="str">
        <f t="shared" si="7"/>
        <v>金</v>
      </c>
      <c r="CR8" s="9" t="str">
        <f t="shared" si="7"/>
        <v>土</v>
      </c>
      <c r="CS8" s="9" t="str">
        <f t="shared" si="7"/>
        <v>日</v>
      </c>
      <c r="CT8" s="9" t="str">
        <f t="shared" si="7"/>
        <v>月</v>
      </c>
      <c r="CU8" s="9" t="str">
        <f t="shared" si="7"/>
        <v>火</v>
      </c>
      <c r="CV8" s="9" t="str">
        <f t="shared" si="7"/>
        <v>水</v>
      </c>
      <c r="CW8" s="9" t="str">
        <f t="shared" si="7"/>
        <v>木</v>
      </c>
      <c r="CX8" s="9" t="str">
        <f t="shared" si="7"/>
        <v>金</v>
      </c>
      <c r="CY8" s="9" t="str">
        <f t="shared" si="7"/>
        <v>土</v>
      </c>
      <c r="CZ8" s="9" t="str">
        <f t="shared" si="7"/>
        <v>日</v>
      </c>
      <c r="DA8" s="9" t="str">
        <f t="shared" si="7"/>
        <v>月</v>
      </c>
      <c r="DB8" s="9" t="str">
        <f t="shared" si="7"/>
        <v>火</v>
      </c>
      <c r="DC8" s="9" t="str">
        <f t="shared" si="7"/>
        <v>水</v>
      </c>
      <c r="DD8" s="9" t="str">
        <f t="shared" si="7"/>
        <v>木</v>
      </c>
      <c r="DE8" s="9" t="str">
        <f t="shared" si="7"/>
        <v>金</v>
      </c>
      <c r="DF8" s="9" t="str">
        <f t="shared" si="7"/>
        <v>土</v>
      </c>
      <c r="DG8" s="9" t="str">
        <f t="shared" si="7"/>
        <v>日</v>
      </c>
      <c r="DH8" s="9" t="str">
        <f t="shared" si="7"/>
        <v>月</v>
      </c>
      <c r="DI8" s="9" t="str">
        <f t="shared" si="7"/>
        <v>火</v>
      </c>
      <c r="DJ8" s="9" t="str">
        <f t="shared" si="7"/>
        <v>水</v>
      </c>
      <c r="DK8" s="9" t="str">
        <f t="shared" si="7"/>
        <v>木</v>
      </c>
      <c r="DL8" s="9" t="str">
        <f t="shared" si="7"/>
        <v>金</v>
      </c>
      <c r="DM8" s="9" t="str">
        <f t="shared" si="7"/>
        <v>土</v>
      </c>
      <c r="DN8" s="9" t="str">
        <f t="shared" si="7"/>
        <v>日</v>
      </c>
      <c r="DO8" s="9" t="str">
        <f t="shared" si="7"/>
        <v>月</v>
      </c>
      <c r="DP8" s="9" t="str">
        <f t="shared" si="7"/>
        <v>火</v>
      </c>
      <c r="DQ8" s="9" t="str">
        <f t="shared" si="7"/>
        <v>水</v>
      </c>
      <c r="DR8" s="9" t="str">
        <f t="shared" si="7"/>
        <v>木</v>
      </c>
      <c r="DS8" s="9" t="str">
        <f t="shared" si="7"/>
        <v>金</v>
      </c>
      <c r="DT8" s="9" t="str">
        <f t="shared" si="7"/>
        <v>土</v>
      </c>
      <c r="DU8" s="9" t="str">
        <f t="shared" si="7"/>
        <v>日</v>
      </c>
      <c r="DV8" s="9" t="str">
        <f t="shared" si="7"/>
        <v>月</v>
      </c>
      <c r="DW8" s="9" t="str">
        <f t="shared" si="7"/>
        <v>火</v>
      </c>
      <c r="DX8" s="9" t="str">
        <f t="shared" si="7"/>
        <v>水</v>
      </c>
      <c r="DY8" s="9" t="str">
        <f t="shared" si="7"/>
        <v>木</v>
      </c>
      <c r="DZ8" s="9" t="str">
        <f t="shared" si="7"/>
        <v>金</v>
      </c>
      <c r="EA8" s="9" t="str">
        <f t="shared" si="7"/>
        <v>土</v>
      </c>
      <c r="EB8" s="9" t="str">
        <f t="shared" si="7"/>
        <v>日</v>
      </c>
      <c r="EC8" s="9" t="str">
        <f t="shared" si="7"/>
        <v>月</v>
      </c>
      <c r="ED8" s="9" t="str">
        <f t="shared" si="7"/>
        <v>火</v>
      </c>
      <c r="EE8" s="9" t="str">
        <f t="shared" si="7"/>
        <v>水</v>
      </c>
      <c r="EF8" s="9" t="str">
        <f t="shared" si="7"/>
        <v>木</v>
      </c>
      <c r="EG8" s="9" t="str">
        <f t="shared" si="7"/>
        <v>金</v>
      </c>
      <c r="EH8" s="9" t="str">
        <f t="shared" si="7"/>
        <v>土</v>
      </c>
      <c r="EI8" s="9" t="str">
        <f t="shared" ref="EI8:GI8" si="8">TEXT(EI7,"aaa")</f>
        <v>日</v>
      </c>
      <c r="EJ8" s="9" t="str">
        <f t="shared" si="8"/>
        <v>月</v>
      </c>
      <c r="EK8" s="9" t="str">
        <f t="shared" si="8"/>
        <v>火</v>
      </c>
      <c r="EL8" s="9" t="str">
        <f t="shared" si="8"/>
        <v>水</v>
      </c>
      <c r="EM8" s="9" t="str">
        <f t="shared" si="8"/>
        <v>木</v>
      </c>
      <c r="EN8" s="9" t="str">
        <f t="shared" si="8"/>
        <v>金</v>
      </c>
      <c r="EO8" s="9" t="str">
        <f t="shared" si="8"/>
        <v>土</v>
      </c>
      <c r="EP8" s="9" t="str">
        <f t="shared" si="8"/>
        <v>日</v>
      </c>
      <c r="EQ8" s="9" t="str">
        <f t="shared" si="8"/>
        <v>月</v>
      </c>
      <c r="ER8" s="9" t="str">
        <f t="shared" si="8"/>
        <v>火</v>
      </c>
      <c r="ES8" s="9" t="str">
        <f t="shared" si="8"/>
        <v>水</v>
      </c>
      <c r="ET8" s="9" t="str">
        <f t="shared" si="8"/>
        <v>木</v>
      </c>
      <c r="EU8" s="9" t="str">
        <f t="shared" si="8"/>
        <v>金</v>
      </c>
      <c r="EV8" s="9" t="str">
        <f t="shared" si="8"/>
        <v>土</v>
      </c>
      <c r="EW8" s="9" t="str">
        <f t="shared" si="8"/>
        <v>日</v>
      </c>
      <c r="EX8" s="9" t="str">
        <f t="shared" si="8"/>
        <v>月</v>
      </c>
      <c r="EY8" s="9" t="str">
        <f t="shared" si="8"/>
        <v>火</v>
      </c>
      <c r="EZ8" s="9" t="str">
        <f t="shared" si="8"/>
        <v>水</v>
      </c>
      <c r="FA8" s="9" t="str">
        <f t="shared" si="8"/>
        <v>木</v>
      </c>
      <c r="FB8" s="9" t="str">
        <f t="shared" si="8"/>
        <v>金</v>
      </c>
      <c r="FC8" s="9" t="str">
        <f t="shared" si="8"/>
        <v>土</v>
      </c>
      <c r="FD8" s="9" t="str">
        <f t="shared" si="8"/>
        <v>日</v>
      </c>
      <c r="FE8" s="9" t="str">
        <f t="shared" si="8"/>
        <v>月</v>
      </c>
      <c r="FF8" s="9" t="str">
        <f t="shared" si="8"/>
        <v>火</v>
      </c>
      <c r="FG8" s="9" t="str">
        <f t="shared" si="8"/>
        <v>水</v>
      </c>
      <c r="FH8" s="9" t="str">
        <f t="shared" si="8"/>
        <v>木</v>
      </c>
      <c r="FI8" s="9" t="str">
        <f t="shared" si="8"/>
        <v>金</v>
      </c>
      <c r="FJ8" s="9" t="str">
        <f t="shared" si="8"/>
        <v>土</v>
      </c>
      <c r="FK8" s="9" t="str">
        <f t="shared" si="8"/>
        <v>日</v>
      </c>
      <c r="FL8" s="9" t="str">
        <f t="shared" si="8"/>
        <v>月</v>
      </c>
      <c r="FM8" s="9" t="str">
        <f t="shared" si="8"/>
        <v>火</v>
      </c>
      <c r="FN8" s="9" t="str">
        <f t="shared" si="8"/>
        <v>水</v>
      </c>
      <c r="FO8" s="9" t="str">
        <f t="shared" si="8"/>
        <v>木</v>
      </c>
      <c r="FP8" s="9" t="str">
        <f t="shared" si="8"/>
        <v>金</v>
      </c>
      <c r="FQ8" s="9" t="str">
        <f t="shared" si="8"/>
        <v>土</v>
      </c>
      <c r="FR8" s="9" t="str">
        <f t="shared" si="8"/>
        <v>日</v>
      </c>
      <c r="FS8" s="9" t="str">
        <f t="shared" si="8"/>
        <v>月</v>
      </c>
      <c r="FT8" s="9" t="str">
        <f t="shared" si="8"/>
        <v>火</v>
      </c>
      <c r="FU8" s="9" t="str">
        <f t="shared" si="8"/>
        <v>水</v>
      </c>
      <c r="FV8" s="9" t="str">
        <f t="shared" si="8"/>
        <v>木</v>
      </c>
      <c r="FW8" s="9" t="str">
        <f t="shared" si="8"/>
        <v>金</v>
      </c>
      <c r="FX8" s="9" t="str">
        <f t="shared" si="8"/>
        <v>土</v>
      </c>
      <c r="FY8" s="9" t="str">
        <f t="shared" si="8"/>
        <v>日</v>
      </c>
      <c r="FZ8" s="9" t="str">
        <f t="shared" si="8"/>
        <v>月</v>
      </c>
      <c r="GA8" s="9" t="str">
        <f t="shared" si="8"/>
        <v>火</v>
      </c>
      <c r="GB8" s="9" t="str">
        <f t="shared" si="8"/>
        <v>水</v>
      </c>
      <c r="GC8" s="9" t="str">
        <f t="shared" si="8"/>
        <v>木</v>
      </c>
      <c r="GD8" s="9" t="str">
        <f t="shared" si="8"/>
        <v>金</v>
      </c>
      <c r="GE8" s="9" t="str">
        <f t="shared" si="8"/>
        <v>土</v>
      </c>
      <c r="GF8" s="9" t="str">
        <f t="shared" si="8"/>
        <v>日</v>
      </c>
      <c r="GG8" s="9" t="str">
        <f t="shared" si="8"/>
        <v>月</v>
      </c>
      <c r="GH8" s="9" t="str">
        <f t="shared" si="8"/>
        <v>火</v>
      </c>
      <c r="GI8" s="15" t="str">
        <f t="shared" si="8"/>
        <v>水</v>
      </c>
    </row>
    <row r="9" spans="1:192" ht="60" customHeight="1" x14ac:dyDescent="0.45">
      <c r="A9" s="26"/>
      <c r="B9" s="3">
        <v>1</v>
      </c>
      <c r="C9" s="50" t="s">
        <v>13</v>
      </c>
      <c r="D9" s="38" t="s">
        <v>26</v>
      </c>
      <c r="E9" s="34">
        <v>46296</v>
      </c>
      <c r="F9" s="24">
        <v>46297</v>
      </c>
      <c r="G9" s="34">
        <v>46296</v>
      </c>
      <c r="H9" s="24">
        <v>46297</v>
      </c>
      <c r="I9" s="3" t="s">
        <v>14</v>
      </c>
      <c r="J9" s="3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6"/>
      <c r="AO9" s="10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6"/>
      <c r="BS9" s="10"/>
      <c r="BT9" s="11"/>
      <c r="BU9" s="20"/>
      <c r="BV9" s="10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20"/>
      <c r="CV9" s="10"/>
      <c r="CW9" s="16"/>
      <c r="CX9" s="10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6"/>
      <c r="EC9" s="10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6"/>
      <c r="FE9" s="10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6"/>
    </row>
    <row r="10" spans="1:192" ht="60" customHeight="1" x14ac:dyDescent="0.45">
      <c r="A10" s="26"/>
      <c r="B10" s="3">
        <v>2</v>
      </c>
      <c r="C10" s="50" t="s">
        <v>15</v>
      </c>
      <c r="D10" s="38" t="s">
        <v>26</v>
      </c>
      <c r="E10" s="34">
        <v>46297</v>
      </c>
      <c r="F10" s="24">
        <v>46298</v>
      </c>
      <c r="G10" s="34">
        <v>46297</v>
      </c>
      <c r="H10" s="24">
        <v>46298</v>
      </c>
      <c r="I10" s="3" t="s">
        <v>14</v>
      </c>
      <c r="J10" s="33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17"/>
      <c r="AO10" s="4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17"/>
      <c r="BS10" s="4"/>
      <c r="BT10" s="5"/>
      <c r="BU10" s="21"/>
      <c r="BV10" s="4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21"/>
      <c r="CV10" s="4"/>
      <c r="CW10" s="17"/>
      <c r="CX10" s="4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17"/>
      <c r="EC10" s="4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17"/>
      <c r="FE10" s="4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17"/>
    </row>
    <row r="11" spans="1:192" ht="60" customHeight="1" x14ac:dyDescent="0.45">
      <c r="A11" s="26"/>
      <c r="B11" s="3">
        <v>3</v>
      </c>
      <c r="C11" s="50" t="s">
        <v>27</v>
      </c>
      <c r="D11" s="38" t="s">
        <v>26</v>
      </c>
      <c r="E11" s="34">
        <v>46298</v>
      </c>
      <c r="F11" s="24">
        <v>46305</v>
      </c>
      <c r="G11" s="34">
        <v>46298</v>
      </c>
      <c r="H11" s="24">
        <v>46299</v>
      </c>
      <c r="I11" s="3" t="s">
        <v>14</v>
      </c>
      <c r="J11" s="39"/>
      <c r="K11" s="40"/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3"/>
      <c r="AO11" s="44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3"/>
      <c r="BS11" s="44"/>
      <c r="BT11" s="42"/>
      <c r="BU11" s="45"/>
      <c r="BV11" s="44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5"/>
      <c r="CV11" s="44"/>
      <c r="CW11" s="43"/>
      <c r="CX11" s="44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3"/>
      <c r="EC11" s="44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3"/>
      <c r="FE11" s="44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3"/>
    </row>
    <row r="12" spans="1:192" s="35" customFormat="1" ht="60" customHeight="1" x14ac:dyDescent="0.45">
      <c r="A12" s="49"/>
      <c r="B12" s="3">
        <v>4</v>
      </c>
      <c r="C12" s="50" t="s">
        <v>28</v>
      </c>
      <c r="D12" s="38" t="s">
        <v>26</v>
      </c>
      <c r="E12" s="34">
        <v>46303</v>
      </c>
      <c r="F12" s="24">
        <v>46303</v>
      </c>
      <c r="G12" s="34">
        <v>46303</v>
      </c>
      <c r="H12" s="24">
        <v>46303</v>
      </c>
      <c r="I12" s="3" t="s">
        <v>14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</row>
    <row r="13" spans="1:192" ht="60" customHeight="1" x14ac:dyDescent="0.45">
      <c r="A13" s="26"/>
      <c r="B13" s="3">
        <v>5</v>
      </c>
      <c r="C13" s="50" t="s">
        <v>29</v>
      </c>
      <c r="D13" s="38" t="s">
        <v>26</v>
      </c>
      <c r="E13" s="34">
        <v>46304</v>
      </c>
      <c r="F13" s="24">
        <v>46304</v>
      </c>
      <c r="G13" s="34">
        <v>46304</v>
      </c>
      <c r="H13" s="24">
        <v>46304</v>
      </c>
      <c r="I13" s="3" t="s">
        <v>14</v>
      </c>
      <c r="J13" s="32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7"/>
      <c r="AO13" s="32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7"/>
      <c r="BS13" s="32"/>
      <c r="BT13" s="46"/>
      <c r="BU13" s="48"/>
      <c r="BV13" s="32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8"/>
      <c r="CV13" s="32"/>
      <c r="CW13" s="47"/>
      <c r="CX13" s="32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7"/>
      <c r="EC13" s="32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7"/>
      <c r="FE13" s="32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7"/>
    </row>
    <row r="14" spans="1:192" ht="60" customHeight="1" x14ac:dyDescent="0.45">
      <c r="A14" s="26"/>
      <c r="B14" s="3">
        <v>6</v>
      </c>
      <c r="C14" s="50" t="s">
        <v>30</v>
      </c>
      <c r="D14" s="38" t="s">
        <v>26</v>
      </c>
      <c r="E14" s="34">
        <v>46304</v>
      </c>
      <c r="F14" s="24">
        <v>46307</v>
      </c>
      <c r="G14" s="34">
        <v>46304</v>
      </c>
      <c r="H14" s="24"/>
      <c r="I14" s="3" t="s">
        <v>16</v>
      </c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17"/>
      <c r="AO14" s="4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17"/>
      <c r="BS14" s="4"/>
      <c r="BT14" s="5"/>
      <c r="BU14" s="21"/>
      <c r="BV14" s="4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21"/>
      <c r="CV14" s="4"/>
      <c r="CW14" s="17"/>
      <c r="CX14" s="4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17"/>
      <c r="EC14" s="4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17"/>
      <c r="FE14" s="4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17"/>
    </row>
    <row r="15" spans="1:192" ht="60" customHeight="1" x14ac:dyDescent="0.45">
      <c r="A15" s="26"/>
      <c r="B15" s="3">
        <v>7</v>
      </c>
      <c r="C15" s="50" t="s">
        <v>17</v>
      </c>
      <c r="D15" s="38" t="s">
        <v>26</v>
      </c>
      <c r="E15" s="34">
        <v>46308</v>
      </c>
      <c r="F15" s="24">
        <v>46314</v>
      </c>
      <c r="G15" s="34"/>
      <c r="H15" s="24"/>
      <c r="I15" s="3" t="s">
        <v>18</v>
      </c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17"/>
      <c r="AO15" s="4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17"/>
      <c r="BS15" s="4"/>
      <c r="BT15" s="5"/>
      <c r="BU15" s="21"/>
      <c r="BV15" s="4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21"/>
      <c r="CV15" s="4"/>
      <c r="CW15" s="17"/>
      <c r="CX15" s="4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17"/>
      <c r="EC15" s="4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17"/>
      <c r="FE15" s="4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17"/>
    </row>
    <row r="16" spans="1:192" ht="60" customHeight="1" x14ac:dyDescent="0.45">
      <c r="A16" s="26"/>
      <c r="B16" s="3">
        <v>8</v>
      </c>
      <c r="C16" s="50" t="s">
        <v>19</v>
      </c>
      <c r="D16" s="38" t="s">
        <v>26</v>
      </c>
      <c r="E16" s="34">
        <v>46315</v>
      </c>
      <c r="F16" s="24">
        <v>46326</v>
      </c>
      <c r="G16" s="34"/>
      <c r="H16" s="24"/>
      <c r="I16" s="3" t="s">
        <v>18</v>
      </c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17"/>
      <c r="AO16" s="4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17"/>
      <c r="BS16" s="4"/>
      <c r="BT16" s="5"/>
      <c r="BU16" s="21"/>
      <c r="BV16" s="4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21"/>
      <c r="CV16" s="4"/>
      <c r="CW16" s="17"/>
      <c r="CX16" s="4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17"/>
      <c r="EC16" s="4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17"/>
      <c r="FE16" s="4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17"/>
    </row>
    <row r="17" spans="1:191" ht="60" customHeight="1" x14ac:dyDescent="0.45">
      <c r="A17" s="26"/>
      <c r="B17" s="3">
        <v>9</v>
      </c>
      <c r="C17" s="50" t="s">
        <v>20</v>
      </c>
      <c r="D17" s="38" t="s">
        <v>26</v>
      </c>
      <c r="E17" s="34">
        <v>46327</v>
      </c>
      <c r="F17" s="24">
        <v>46347</v>
      </c>
      <c r="G17" s="34"/>
      <c r="H17" s="24"/>
      <c r="I17" s="3" t="s">
        <v>18</v>
      </c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17"/>
      <c r="AO17" s="4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17"/>
      <c r="BS17" s="4"/>
      <c r="BT17" s="5"/>
      <c r="BU17" s="21"/>
      <c r="BV17" s="4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21"/>
      <c r="CV17" s="4"/>
      <c r="CW17" s="17"/>
      <c r="CX17" s="4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17"/>
      <c r="EC17" s="4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17"/>
      <c r="FE17" s="4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17"/>
    </row>
    <row r="18" spans="1:191" ht="60" customHeight="1" x14ac:dyDescent="0.45">
      <c r="A18" s="26"/>
      <c r="B18" s="3">
        <v>10</v>
      </c>
      <c r="C18" s="50" t="s">
        <v>21</v>
      </c>
      <c r="D18" s="38" t="s">
        <v>26</v>
      </c>
      <c r="E18" s="34">
        <v>46348</v>
      </c>
      <c r="F18" s="24">
        <v>46361</v>
      </c>
      <c r="G18" s="34"/>
      <c r="H18" s="24"/>
      <c r="I18" s="3" t="s">
        <v>18</v>
      </c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17"/>
      <c r="AO18" s="4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17"/>
      <c r="BS18" s="4"/>
      <c r="BT18" s="5"/>
      <c r="BU18" s="21"/>
      <c r="BV18" s="4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21"/>
      <c r="CV18" s="4"/>
      <c r="CW18" s="17"/>
      <c r="CX18" s="4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17"/>
      <c r="EC18" s="4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17"/>
      <c r="FE18" s="4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17"/>
    </row>
    <row r="19" spans="1:191" ht="60" customHeight="1" x14ac:dyDescent="0.45">
      <c r="A19" s="26"/>
      <c r="B19" s="3">
        <v>11</v>
      </c>
      <c r="C19" s="50" t="s">
        <v>31</v>
      </c>
      <c r="D19" s="38" t="s">
        <v>26</v>
      </c>
      <c r="E19" s="34">
        <v>46362</v>
      </c>
      <c r="F19" s="24">
        <v>46382</v>
      </c>
      <c r="G19" s="34"/>
      <c r="H19" s="24"/>
      <c r="I19" s="3" t="s">
        <v>18</v>
      </c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17"/>
      <c r="AO19" s="4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17"/>
      <c r="BS19" s="4"/>
      <c r="BT19" s="5"/>
      <c r="BU19" s="21"/>
      <c r="BV19" s="4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21"/>
      <c r="CV19" s="4"/>
      <c r="CW19" s="17"/>
      <c r="CX19" s="4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17"/>
      <c r="EC19" s="4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17"/>
      <c r="FE19" s="4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17"/>
    </row>
    <row r="20" spans="1:191" ht="60" customHeight="1" x14ac:dyDescent="0.45">
      <c r="A20" s="26"/>
      <c r="B20" s="3">
        <v>12</v>
      </c>
      <c r="C20" s="50" t="s">
        <v>22</v>
      </c>
      <c r="D20" s="38" t="s">
        <v>26</v>
      </c>
      <c r="E20" s="34">
        <v>46383</v>
      </c>
      <c r="F20" s="24">
        <v>46396</v>
      </c>
      <c r="G20" s="34"/>
      <c r="H20" s="24"/>
      <c r="I20" s="3" t="s">
        <v>18</v>
      </c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17"/>
      <c r="AO20" s="4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17"/>
      <c r="BS20" s="4"/>
      <c r="BT20" s="5"/>
      <c r="BU20" s="21"/>
      <c r="BV20" s="4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21"/>
      <c r="CV20" s="4"/>
      <c r="CW20" s="17"/>
      <c r="CX20" s="4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17"/>
      <c r="EC20" s="4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17"/>
      <c r="FE20" s="4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17"/>
    </row>
    <row r="21" spans="1:191" ht="60" customHeight="1" x14ac:dyDescent="0.45">
      <c r="A21" s="26"/>
      <c r="B21" s="3">
        <v>13</v>
      </c>
      <c r="C21" s="50" t="s">
        <v>23</v>
      </c>
      <c r="D21" s="38" t="s">
        <v>26</v>
      </c>
      <c r="E21" s="34">
        <v>46397</v>
      </c>
      <c r="F21" s="24">
        <v>46410</v>
      </c>
      <c r="G21" s="34"/>
      <c r="H21" s="24"/>
      <c r="I21" s="3" t="s">
        <v>18</v>
      </c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17"/>
      <c r="AO21" s="4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17"/>
      <c r="BS21" s="4"/>
      <c r="BT21" s="5"/>
      <c r="BU21" s="21"/>
      <c r="BV21" s="4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21"/>
      <c r="CV21" s="4"/>
      <c r="CW21" s="17"/>
      <c r="CX21" s="4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17"/>
      <c r="EC21" s="4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17"/>
      <c r="FE21" s="4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17"/>
    </row>
    <row r="22" spans="1:191" ht="60" customHeight="1" x14ac:dyDescent="0.45">
      <c r="A22" s="26"/>
      <c r="B22" s="3">
        <v>14</v>
      </c>
      <c r="C22" s="50" t="s">
        <v>24</v>
      </c>
      <c r="D22" s="38" t="s">
        <v>26</v>
      </c>
      <c r="E22" s="34">
        <v>46411</v>
      </c>
      <c r="F22" s="24">
        <v>46424</v>
      </c>
      <c r="G22" s="34"/>
      <c r="H22" s="24"/>
      <c r="I22" s="3" t="s">
        <v>18</v>
      </c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17"/>
      <c r="AO22" s="4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17"/>
      <c r="BS22" s="4"/>
      <c r="BT22" s="5"/>
      <c r="BU22" s="21"/>
      <c r="BV22" s="4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21"/>
      <c r="CV22" s="4"/>
      <c r="CW22" s="17"/>
      <c r="CX22" s="4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17"/>
      <c r="EC22" s="4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17"/>
      <c r="FE22" s="4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17"/>
    </row>
    <row r="23" spans="1:191" ht="60" customHeight="1" x14ac:dyDescent="0.45">
      <c r="A23" s="26"/>
      <c r="B23" s="3">
        <v>15</v>
      </c>
      <c r="C23" s="50" t="s">
        <v>25</v>
      </c>
      <c r="D23" s="38" t="s">
        <v>26</v>
      </c>
      <c r="E23" s="34">
        <v>46425</v>
      </c>
      <c r="F23" s="24">
        <v>46446</v>
      </c>
      <c r="G23" s="34"/>
      <c r="H23" s="24"/>
      <c r="I23" s="3" t="s">
        <v>18</v>
      </c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17"/>
      <c r="AO23" s="4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17"/>
      <c r="BS23" s="4"/>
      <c r="BT23" s="5"/>
      <c r="BU23" s="21"/>
      <c r="BV23" s="4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21"/>
      <c r="CV23" s="4"/>
      <c r="CW23" s="17"/>
      <c r="CX23" s="4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17"/>
      <c r="EC23" s="4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17"/>
      <c r="FE23" s="4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17"/>
    </row>
    <row r="24" spans="1:191" ht="60" customHeight="1" x14ac:dyDescent="0.45">
      <c r="A24" s="26"/>
      <c r="B24" s="3"/>
      <c r="C24" s="36"/>
      <c r="D24" s="38"/>
      <c r="E24" s="34"/>
      <c r="F24" s="24"/>
      <c r="G24" s="24"/>
      <c r="H24" s="24"/>
      <c r="I24" s="3"/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8"/>
      <c r="AO24" s="6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18"/>
      <c r="BS24" s="6"/>
      <c r="BT24" s="7"/>
      <c r="BU24" s="22"/>
      <c r="BV24" s="6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22"/>
      <c r="CV24" s="6"/>
      <c r="CW24" s="18"/>
      <c r="CX24" s="6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18"/>
      <c r="EC24" s="6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18"/>
      <c r="FE24" s="6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18"/>
    </row>
    <row r="25" spans="1:191" ht="60" customHeight="1" x14ac:dyDescent="0.45">
      <c r="A25" s="26"/>
      <c r="B25" s="3"/>
      <c r="C25" s="36"/>
      <c r="D25" s="38"/>
      <c r="E25" s="34"/>
      <c r="F25" s="24"/>
      <c r="G25" s="24"/>
      <c r="H25" s="24"/>
      <c r="I25" s="3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17"/>
      <c r="AO25" s="4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17"/>
      <c r="BS25" s="4"/>
      <c r="BT25" s="5"/>
      <c r="BU25" s="21"/>
      <c r="BV25" s="4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21"/>
      <c r="CV25" s="4"/>
      <c r="CW25" s="17"/>
      <c r="CX25" s="4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17"/>
      <c r="EC25" s="4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17"/>
      <c r="FE25" s="4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17"/>
    </row>
    <row r="26" spans="1:191" ht="60" customHeight="1" x14ac:dyDescent="0.45">
      <c r="A26" s="26"/>
      <c r="B26" s="3"/>
      <c r="C26" s="36"/>
      <c r="D26" s="38"/>
      <c r="E26" s="34"/>
      <c r="F26" s="24"/>
      <c r="G26" s="24"/>
      <c r="H26" s="24"/>
      <c r="I26" s="3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17"/>
      <c r="AO26" s="4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17"/>
      <c r="BS26" s="4"/>
      <c r="BT26" s="5"/>
      <c r="BU26" s="21"/>
      <c r="BV26" s="4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21"/>
      <c r="CV26" s="4"/>
      <c r="CW26" s="17"/>
      <c r="CX26" s="4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17"/>
      <c r="EC26" s="4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17"/>
      <c r="FE26" s="4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17"/>
    </row>
    <row r="27" spans="1:191" ht="60" customHeight="1" x14ac:dyDescent="0.45">
      <c r="A27" s="26"/>
      <c r="B27" s="3"/>
      <c r="C27" s="36"/>
      <c r="D27" s="38"/>
      <c r="E27" s="34"/>
      <c r="F27" s="24"/>
      <c r="G27" s="24"/>
      <c r="H27" s="24"/>
      <c r="I27" s="3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17"/>
      <c r="AO27" s="4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17"/>
      <c r="BS27" s="4"/>
      <c r="BT27" s="5"/>
      <c r="BU27" s="21"/>
      <c r="BV27" s="4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21"/>
      <c r="CV27" s="4"/>
      <c r="CW27" s="17"/>
      <c r="CX27" s="4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17"/>
      <c r="EC27" s="4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17"/>
      <c r="FE27" s="4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17"/>
    </row>
    <row r="28" spans="1:191" ht="60" customHeight="1" x14ac:dyDescent="0.45">
      <c r="A28" s="26"/>
      <c r="B28" s="3"/>
      <c r="C28" s="36"/>
      <c r="D28" s="38"/>
      <c r="E28" s="34"/>
      <c r="F28" s="24"/>
      <c r="G28" s="24"/>
      <c r="H28" s="24"/>
      <c r="I28" s="3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17"/>
      <c r="AO28" s="4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17"/>
      <c r="BS28" s="4"/>
      <c r="BT28" s="5"/>
      <c r="BU28" s="21"/>
      <c r="BV28" s="4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21"/>
      <c r="CV28" s="4"/>
      <c r="CW28" s="17"/>
      <c r="CX28" s="4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17"/>
      <c r="EC28" s="4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17"/>
      <c r="FE28" s="4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17"/>
    </row>
    <row r="29" spans="1:191" ht="60" customHeight="1" x14ac:dyDescent="0.45">
      <c r="A29" s="26"/>
      <c r="B29" s="3"/>
      <c r="C29" s="36"/>
      <c r="D29" s="38"/>
      <c r="E29" s="34"/>
      <c r="F29" s="24"/>
      <c r="G29" s="24"/>
      <c r="H29" s="24"/>
      <c r="I29" s="3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17"/>
      <c r="AO29" s="4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17"/>
      <c r="BS29" s="4"/>
      <c r="BT29" s="5"/>
      <c r="BU29" s="21"/>
      <c r="BV29" s="4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21"/>
      <c r="CV29" s="4"/>
      <c r="CW29" s="17"/>
      <c r="CX29" s="4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17"/>
      <c r="EC29" s="4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17"/>
      <c r="FE29" s="4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17"/>
    </row>
    <row r="30" spans="1:191" ht="60" customHeight="1" x14ac:dyDescent="0.45">
      <c r="A30" s="26"/>
      <c r="B30" s="3"/>
      <c r="C30" s="36"/>
      <c r="D30" s="38"/>
      <c r="E30" s="34"/>
      <c r="F30" s="24"/>
      <c r="G30" s="24"/>
      <c r="H30" s="24"/>
      <c r="I30" s="3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17"/>
      <c r="AO30" s="4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17"/>
      <c r="BS30" s="4"/>
      <c r="BT30" s="5"/>
      <c r="BU30" s="21"/>
      <c r="BV30" s="4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21"/>
      <c r="CV30" s="4"/>
      <c r="CW30" s="17"/>
      <c r="CX30" s="4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17"/>
      <c r="EC30" s="4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17"/>
      <c r="FE30" s="4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17"/>
    </row>
    <row r="31" spans="1:191" ht="60" customHeight="1" x14ac:dyDescent="0.45">
      <c r="A31" s="26"/>
      <c r="B31" s="3"/>
      <c r="C31" s="36"/>
      <c r="D31" s="38"/>
      <c r="E31" s="34"/>
      <c r="F31" s="24"/>
      <c r="G31" s="24"/>
      <c r="H31" s="24"/>
      <c r="I31" s="3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17"/>
      <c r="AO31" s="4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17"/>
      <c r="BS31" s="4"/>
      <c r="BT31" s="5"/>
      <c r="BU31" s="21"/>
      <c r="BV31" s="4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21"/>
      <c r="CV31" s="4"/>
      <c r="CW31" s="17"/>
      <c r="CX31" s="4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17"/>
      <c r="EC31" s="4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17"/>
      <c r="FE31" s="4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17"/>
    </row>
    <row r="32" spans="1:191" ht="60" customHeight="1" x14ac:dyDescent="0.45">
      <c r="A32" s="26"/>
      <c r="B32" s="3"/>
      <c r="C32" s="36"/>
      <c r="D32" s="38"/>
      <c r="E32" s="34"/>
      <c r="F32" s="24"/>
      <c r="G32" s="24"/>
      <c r="H32" s="24"/>
      <c r="I32" s="3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17"/>
      <c r="AO32" s="4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17"/>
      <c r="BS32" s="4"/>
      <c r="BT32" s="5"/>
      <c r="BU32" s="21"/>
      <c r="BV32" s="4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21"/>
      <c r="CV32" s="4"/>
      <c r="CW32" s="17"/>
      <c r="CX32" s="4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17"/>
      <c r="EC32" s="4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17"/>
      <c r="FE32" s="4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17"/>
    </row>
    <row r="33" spans="1:191" ht="60" customHeight="1" x14ac:dyDescent="0.45">
      <c r="A33" s="26"/>
      <c r="B33" s="3"/>
      <c r="C33" s="36"/>
      <c r="D33" s="38"/>
      <c r="E33" s="34"/>
      <c r="F33" s="24"/>
      <c r="G33" s="24"/>
      <c r="H33" s="24"/>
      <c r="I33" s="3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17"/>
      <c r="AO33" s="4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17"/>
      <c r="BS33" s="4"/>
      <c r="BT33" s="5"/>
      <c r="BU33" s="21"/>
      <c r="BV33" s="4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21"/>
      <c r="CV33" s="4"/>
      <c r="CW33" s="17"/>
      <c r="CX33" s="4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17"/>
      <c r="EC33" s="4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17"/>
      <c r="FE33" s="4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17"/>
    </row>
    <row r="34" spans="1:191" ht="60" customHeight="1" x14ac:dyDescent="0.45">
      <c r="A34" s="26"/>
      <c r="B34" s="3"/>
      <c r="C34" s="36"/>
      <c r="D34" s="38"/>
      <c r="E34" s="34"/>
      <c r="F34" s="24"/>
      <c r="G34" s="24"/>
      <c r="H34" s="24"/>
      <c r="I34" s="3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17"/>
      <c r="AO34" s="4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17"/>
      <c r="BS34" s="4"/>
      <c r="BT34" s="5"/>
      <c r="BU34" s="21"/>
      <c r="BV34" s="4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21"/>
      <c r="CV34" s="4"/>
      <c r="CW34" s="17"/>
      <c r="CX34" s="4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17"/>
      <c r="EC34" s="4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17"/>
      <c r="FE34" s="4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17"/>
    </row>
    <row r="35" spans="1:191" ht="60" customHeight="1" x14ac:dyDescent="0.45">
      <c r="A35" s="26"/>
      <c r="B35" s="3"/>
      <c r="C35" s="36"/>
      <c r="D35" s="38"/>
      <c r="E35" s="34"/>
      <c r="F35" s="24"/>
      <c r="G35" s="24"/>
      <c r="H35" s="24"/>
      <c r="I35" s="3"/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17"/>
      <c r="AO35" s="4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17"/>
      <c r="BS35" s="4"/>
      <c r="BT35" s="5"/>
      <c r="BU35" s="21"/>
      <c r="BV35" s="4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21"/>
      <c r="CV35" s="4"/>
      <c r="CW35" s="17"/>
      <c r="CX35" s="4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17"/>
      <c r="EC35" s="4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17"/>
      <c r="FE35" s="4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17"/>
    </row>
    <row r="36" spans="1:191" ht="60" customHeight="1" x14ac:dyDescent="0.45">
      <c r="A36" s="26"/>
      <c r="B36" s="3"/>
      <c r="C36" s="36"/>
      <c r="D36" s="38"/>
      <c r="E36" s="34"/>
      <c r="F36" s="24"/>
      <c r="G36" s="24"/>
      <c r="H36" s="24"/>
      <c r="I36" s="3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17"/>
      <c r="AO36" s="4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17"/>
      <c r="BS36" s="4"/>
      <c r="BT36" s="5"/>
      <c r="BU36" s="21"/>
      <c r="BV36" s="4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21"/>
      <c r="CV36" s="4"/>
      <c r="CW36" s="17"/>
      <c r="CX36" s="4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17"/>
      <c r="EC36" s="4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17"/>
      <c r="FE36" s="4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17"/>
    </row>
    <row r="37" spans="1:191" ht="60" customHeight="1" x14ac:dyDescent="0.45">
      <c r="A37" s="26"/>
      <c r="B37" s="3"/>
      <c r="C37" s="36"/>
      <c r="D37" s="38"/>
      <c r="E37" s="34"/>
      <c r="F37" s="24"/>
      <c r="G37" s="24"/>
      <c r="H37" s="24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17"/>
      <c r="AO37" s="4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17"/>
      <c r="BS37" s="4"/>
      <c r="BT37" s="5"/>
      <c r="BU37" s="21"/>
      <c r="BV37" s="4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21"/>
      <c r="CV37" s="4"/>
      <c r="CW37" s="17"/>
      <c r="CX37" s="4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17"/>
      <c r="EC37" s="4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17"/>
      <c r="FE37" s="4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17"/>
    </row>
    <row r="38" spans="1:191" ht="60" customHeight="1" x14ac:dyDescent="0.45">
      <c r="A38" s="26"/>
      <c r="B38" s="3"/>
      <c r="C38" s="36"/>
      <c r="D38" s="38"/>
      <c r="E38" s="34"/>
      <c r="F38" s="24"/>
      <c r="G38" s="24"/>
      <c r="H38" s="24"/>
      <c r="I38" s="3"/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8"/>
      <c r="AO38" s="6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18"/>
      <c r="BS38" s="6"/>
      <c r="BT38" s="7"/>
      <c r="BU38" s="22"/>
      <c r="BV38" s="6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22"/>
      <c r="CV38" s="6"/>
      <c r="CW38" s="18"/>
      <c r="CX38" s="6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18"/>
      <c r="EC38" s="6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18"/>
      <c r="FE38" s="6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18"/>
    </row>
    <row r="39" spans="1:191" ht="60" customHeight="1" x14ac:dyDescent="0.45">
      <c r="A39" s="26"/>
      <c r="B39" s="3"/>
      <c r="C39" s="36"/>
      <c r="D39" s="38"/>
      <c r="E39" s="34"/>
      <c r="F39" s="24"/>
      <c r="G39" s="24"/>
      <c r="H39" s="24"/>
      <c r="I39" s="3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17"/>
      <c r="AO39" s="4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17"/>
      <c r="BS39" s="4"/>
      <c r="BT39" s="5"/>
      <c r="BU39" s="21"/>
      <c r="BV39" s="4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21"/>
      <c r="CV39" s="4"/>
      <c r="CW39" s="17"/>
      <c r="CX39" s="4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17"/>
      <c r="EC39" s="4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17"/>
      <c r="FE39" s="4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17"/>
    </row>
    <row r="40" spans="1:191" ht="60" customHeight="1" x14ac:dyDescent="0.45">
      <c r="A40" s="26"/>
      <c r="B40" s="3"/>
      <c r="C40" s="36"/>
      <c r="D40" s="38"/>
      <c r="E40" s="34"/>
      <c r="F40" s="24"/>
      <c r="G40" s="24"/>
      <c r="H40" s="24"/>
      <c r="I40" s="3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17"/>
      <c r="AO40" s="4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17"/>
      <c r="BS40" s="4"/>
      <c r="BT40" s="5"/>
      <c r="BU40" s="21"/>
      <c r="BV40" s="4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21"/>
      <c r="CV40" s="4"/>
      <c r="CW40" s="17"/>
      <c r="CX40" s="4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17"/>
      <c r="EC40" s="4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17"/>
      <c r="FE40" s="4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17"/>
    </row>
    <row r="41" spans="1:191" ht="60" customHeight="1" x14ac:dyDescent="0.45">
      <c r="A41" s="26"/>
      <c r="B41" s="3"/>
      <c r="C41" s="36"/>
      <c r="D41" s="38"/>
      <c r="E41" s="34"/>
      <c r="F41" s="24"/>
      <c r="G41" s="24"/>
      <c r="H41" s="24"/>
      <c r="I41" s="3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17"/>
      <c r="AO41" s="4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17"/>
      <c r="BS41" s="4"/>
      <c r="BT41" s="5"/>
      <c r="BU41" s="21"/>
      <c r="BV41" s="4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21"/>
      <c r="CV41" s="4"/>
      <c r="CW41" s="17"/>
      <c r="CX41" s="4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17"/>
      <c r="EC41" s="4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17"/>
      <c r="FE41" s="4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17"/>
    </row>
    <row r="42" spans="1:191" ht="60" customHeight="1" x14ac:dyDescent="0.45">
      <c r="A42" s="26"/>
      <c r="B42" s="3"/>
      <c r="C42" s="36"/>
      <c r="D42" s="38"/>
      <c r="E42" s="34"/>
      <c r="F42" s="24"/>
      <c r="G42" s="24"/>
      <c r="H42" s="24"/>
      <c r="I42" s="3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17"/>
      <c r="AO42" s="4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17"/>
      <c r="BS42" s="4"/>
      <c r="BT42" s="5"/>
      <c r="BU42" s="21"/>
      <c r="BV42" s="4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21"/>
      <c r="CV42" s="4"/>
      <c r="CW42" s="17"/>
      <c r="CX42" s="4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17"/>
      <c r="EC42" s="4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17"/>
      <c r="FE42" s="4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17"/>
    </row>
    <row r="43" spans="1:191" ht="60" customHeight="1" x14ac:dyDescent="0.45">
      <c r="A43" s="26"/>
      <c r="B43" s="3"/>
      <c r="C43" s="36"/>
      <c r="D43" s="38"/>
      <c r="E43" s="34"/>
      <c r="F43" s="24"/>
      <c r="G43" s="24"/>
      <c r="H43" s="24"/>
      <c r="I43" s="3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17"/>
      <c r="AO43" s="4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17"/>
      <c r="BS43" s="4"/>
      <c r="BT43" s="5"/>
      <c r="BU43" s="21"/>
      <c r="BV43" s="4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21"/>
      <c r="CV43" s="4"/>
      <c r="CW43" s="17"/>
      <c r="CX43" s="4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17"/>
      <c r="EC43" s="4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17"/>
      <c r="FE43" s="4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17"/>
    </row>
    <row r="44" spans="1:191" ht="60" customHeight="1" x14ac:dyDescent="0.45">
      <c r="A44" s="26"/>
      <c r="B44" s="3"/>
      <c r="C44" s="36"/>
      <c r="D44" s="38"/>
      <c r="E44" s="34"/>
      <c r="F44" s="24"/>
      <c r="G44" s="24"/>
      <c r="H44" s="24"/>
      <c r="I44" s="3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17"/>
      <c r="AO44" s="4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17"/>
      <c r="BS44" s="4"/>
      <c r="BT44" s="5"/>
      <c r="BU44" s="21"/>
      <c r="BV44" s="4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21"/>
      <c r="CV44" s="4"/>
      <c r="CW44" s="17"/>
      <c r="CX44" s="4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17"/>
      <c r="EC44" s="4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17"/>
      <c r="FE44" s="4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17"/>
    </row>
    <row r="45" spans="1:191" ht="60" customHeight="1" x14ac:dyDescent="0.45">
      <c r="A45" s="26"/>
      <c r="B45" s="3"/>
      <c r="C45" s="36"/>
      <c r="D45" s="38"/>
      <c r="E45" s="34"/>
      <c r="F45" s="24"/>
      <c r="G45" s="24"/>
      <c r="H45" s="24"/>
      <c r="I45" s="3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17"/>
      <c r="AO45" s="4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17"/>
      <c r="BS45" s="4"/>
      <c r="BT45" s="5"/>
      <c r="BU45" s="21"/>
      <c r="BV45" s="4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21"/>
      <c r="CV45" s="4"/>
      <c r="CW45" s="17"/>
      <c r="CX45" s="4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17"/>
      <c r="EC45" s="4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17"/>
      <c r="FE45" s="4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17"/>
    </row>
    <row r="46" spans="1:191" ht="60" customHeight="1" x14ac:dyDescent="0.45">
      <c r="A46" s="26"/>
      <c r="B46" s="3"/>
      <c r="C46" s="36"/>
      <c r="D46" s="38"/>
      <c r="E46" s="34"/>
      <c r="F46" s="24"/>
      <c r="G46" s="24"/>
      <c r="H46" s="24"/>
      <c r="I46" s="3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17"/>
      <c r="AO46" s="4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17"/>
      <c r="BS46" s="4"/>
      <c r="BT46" s="5"/>
      <c r="BU46" s="21"/>
      <c r="BV46" s="4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21"/>
      <c r="CV46" s="4"/>
      <c r="CW46" s="17"/>
      <c r="CX46" s="4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17"/>
      <c r="EC46" s="4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17"/>
      <c r="FE46" s="4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17"/>
    </row>
    <row r="47" spans="1:191" ht="60" customHeight="1" x14ac:dyDescent="0.45">
      <c r="A47" s="26"/>
      <c r="B47" s="3"/>
      <c r="C47" s="36"/>
      <c r="D47" s="38"/>
      <c r="E47" s="34"/>
      <c r="F47" s="24"/>
      <c r="G47" s="24"/>
      <c r="H47" s="24"/>
      <c r="I47" s="3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17"/>
      <c r="AO47" s="4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17"/>
      <c r="BS47" s="4"/>
      <c r="BT47" s="5"/>
      <c r="BU47" s="21"/>
      <c r="BV47" s="4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21"/>
      <c r="CV47" s="4"/>
      <c r="CW47" s="17"/>
      <c r="CX47" s="4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17"/>
      <c r="EC47" s="4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17"/>
      <c r="FE47" s="4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17"/>
    </row>
    <row r="48" spans="1:191" ht="60" customHeight="1" x14ac:dyDescent="0.45">
      <c r="A48" s="26"/>
      <c r="B48" s="3"/>
      <c r="C48" s="36"/>
      <c r="D48" s="38"/>
      <c r="E48" s="34"/>
      <c r="F48" s="24"/>
      <c r="G48" s="24"/>
      <c r="H48" s="24"/>
      <c r="I48" s="3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17"/>
      <c r="AO48" s="4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17"/>
      <c r="BS48" s="4"/>
      <c r="BT48" s="5"/>
      <c r="BU48" s="21"/>
      <c r="BV48" s="4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21"/>
      <c r="CV48" s="4"/>
      <c r="CW48" s="17"/>
      <c r="CX48" s="4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17"/>
      <c r="EC48" s="4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17"/>
      <c r="FE48" s="4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17"/>
    </row>
    <row r="49" spans="1:191" ht="60" customHeight="1" x14ac:dyDescent="0.45">
      <c r="A49" s="26"/>
      <c r="B49" s="3"/>
      <c r="C49" s="36"/>
      <c r="D49" s="38"/>
      <c r="E49" s="34"/>
      <c r="F49" s="24"/>
      <c r="G49" s="24"/>
      <c r="H49" s="24"/>
      <c r="I49" s="3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17"/>
      <c r="AO49" s="4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17"/>
      <c r="BS49" s="4"/>
      <c r="BT49" s="5"/>
      <c r="BU49" s="21"/>
      <c r="BV49" s="4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21"/>
      <c r="CV49" s="4"/>
      <c r="CW49" s="17"/>
      <c r="CX49" s="4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17"/>
      <c r="EC49" s="4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17"/>
      <c r="FE49" s="4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17"/>
    </row>
    <row r="50" spans="1:191" ht="60" customHeight="1" x14ac:dyDescent="0.45">
      <c r="A50" s="26"/>
      <c r="B50" s="3"/>
      <c r="C50" s="36"/>
      <c r="D50" s="38"/>
      <c r="E50" s="34"/>
      <c r="F50" s="24"/>
      <c r="G50" s="24"/>
      <c r="H50" s="24"/>
      <c r="I50" s="3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17"/>
      <c r="AO50" s="4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17"/>
      <c r="BS50" s="4"/>
      <c r="BT50" s="5"/>
      <c r="BU50" s="21"/>
      <c r="BV50" s="4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21"/>
      <c r="CV50" s="4"/>
      <c r="CW50" s="17"/>
      <c r="CX50" s="4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17"/>
      <c r="EC50" s="4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17"/>
      <c r="FE50" s="4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17"/>
    </row>
    <row r="51" spans="1:191" ht="60" customHeight="1" x14ac:dyDescent="0.45">
      <c r="A51" s="26"/>
      <c r="B51" s="3"/>
      <c r="C51" s="36"/>
      <c r="D51" s="38"/>
      <c r="E51" s="34"/>
      <c r="F51" s="24"/>
      <c r="G51" s="24"/>
      <c r="H51" s="24"/>
      <c r="I51" s="3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17"/>
      <c r="AO51" s="4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17"/>
      <c r="BS51" s="4"/>
      <c r="BT51" s="5"/>
      <c r="BU51" s="21"/>
      <c r="BV51" s="4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21"/>
      <c r="CV51" s="4"/>
      <c r="CW51" s="17"/>
      <c r="CX51" s="4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17"/>
      <c r="EC51" s="4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17"/>
      <c r="FE51" s="4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17"/>
    </row>
    <row r="52" spans="1:191" ht="60" customHeight="1" x14ac:dyDescent="0.45">
      <c r="A52" s="26"/>
      <c r="B52" s="3"/>
      <c r="C52" s="36"/>
      <c r="D52" s="38"/>
      <c r="E52" s="34"/>
      <c r="F52" s="24"/>
      <c r="G52" s="24"/>
      <c r="H52" s="24"/>
      <c r="I52" s="3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8"/>
      <c r="AO52" s="6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18"/>
      <c r="BS52" s="6"/>
      <c r="BT52" s="7"/>
      <c r="BU52" s="22"/>
      <c r="BV52" s="6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22"/>
      <c r="CV52" s="6"/>
      <c r="CW52" s="18"/>
      <c r="CX52" s="6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18"/>
      <c r="EC52" s="6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18"/>
      <c r="FE52" s="6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18"/>
    </row>
    <row r="53" spans="1:191" ht="60" customHeight="1" x14ac:dyDescent="0.45">
      <c r="A53" s="26"/>
      <c r="B53" s="3"/>
      <c r="C53" s="36"/>
      <c r="D53" s="38"/>
      <c r="E53" s="34"/>
      <c r="F53" s="24"/>
      <c r="G53" s="24"/>
      <c r="H53" s="24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17"/>
      <c r="AO53" s="4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17"/>
      <c r="BS53" s="4"/>
      <c r="BT53" s="5"/>
      <c r="BU53" s="21"/>
      <c r="BV53" s="4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21"/>
      <c r="CV53" s="4"/>
      <c r="CW53" s="17"/>
      <c r="CX53" s="4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17"/>
      <c r="EC53" s="4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17"/>
      <c r="FE53" s="4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17"/>
    </row>
    <row r="54" spans="1:191" ht="60" customHeight="1" x14ac:dyDescent="0.45">
      <c r="A54" s="26"/>
      <c r="B54" s="3"/>
      <c r="C54" s="36"/>
      <c r="D54" s="38"/>
      <c r="E54" s="34"/>
      <c r="F54" s="24"/>
      <c r="G54" s="24"/>
      <c r="H54" s="24"/>
      <c r="I54" s="3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17"/>
      <c r="AO54" s="4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17"/>
      <c r="BS54" s="4"/>
      <c r="BT54" s="5"/>
      <c r="BU54" s="21"/>
      <c r="BV54" s="4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21"/>
      <c r="CV54" s="4"/>
      <c r="CW54" s="17"/>
      <c r="CX54" s="4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17"/>
      <c r="EC54" s="4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17"/>
      <c r="FE54" s="4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17"/>
    </row>
    <row r="55" spans="1:191" ht="60" customHeight="1" x14ac:dyDescent="0.45">
      <c r="A55" s="26"/>
      <c r="B55" s="3"/>
      <c r="C55" s="36"/>
      <c r="D55" s="38"/>
      <c r="E55" s="34"/>
      <c r="F55" s="24"/>
      <c r="G55" s="24"/>
      <c r="H55" s="24"/>
      <c r="I55" s="3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17"/>
      <c r="AO55" s="4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17"/>
      <c r="BS55" s="4"/>
      <c r="BT55" s="5"/>
      <c r="BU55" s="21"/>
      <c r="BV55" s="4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21"/>
      <c r="CV55" s="4"/>
      <c r="CW55" s="17"/>
      <c r="CX55" s="4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17"/>
      <c r="EC55" s="4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17"/>
      <c r="FE55" s="4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17"/>
    </row>
    <row r="56" spans="1:191" ht="60" customHeight="1" x14ac:dyDescent="0.45">
      <c r="A56" s="26"/>
      <c r="B56" s="3"/>
      <c r="C56" s="36"/>
      <c r="D56" s="38"/>
      <c r="E56" s="34"/>
      <c r="F56" s="24"/>
      <c r="G56" s="24"/>
      <c r="H56" s="24"/>
      <c r="I56" s="3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17"/>
      <c r="AO56" s="4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17"/>
      <c r="BS56" s="4"/>
      <c r="BT56" s="5"/>
      <c r="BU56" s="21"/>
      <c r="BV56" s="4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21"/>
      <c r="CV56" s="4"/>
      <c r="CW56" s="17"/>
      <c r="CX56" s="4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17"/>
      <c r="EC56" s="4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17"/>
      <c r="FE56" s="4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17"/>
    </row>
    <row r="57" spans="1:191" ht="60" customHeight="1" x14ac:dyDescent="0.45">
      <c r="A57" s="26"/>
      <c r="B57" s="3"/>
      <c r="C57" s="36"/>
      <c r="D57" s="38"/>
      <c r="E57" s="34"/>
      <c r="F57" s="24"/>
      <c r="G57" s="24"/>
      <c r="H57" s="24"/>
      <c r="I57" s="3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17"/>
      <c r="AO57" s="4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17"/>
      <c r="BS57" s="4"/>
      <c r="BT57" s="5"/>
      <c r="BU57" s="21"/>
      <c r="BV57" s="4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21"/>
      <c r="CV57" s="4"/>
      <c r="CW57" s="17"/>
      <c r="CX57" s="4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17"/>
      <c r="EC57" s="4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17"/>
      <c r="FE57" s="4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17"/>
    </row>
    <row r="58" spans="1:191" ht="60" customHeight="1" x14ac:dyDescent="0.45">
      <c r="A58" s="26"/>
      <c r="B58" s="3"/>
      <c r="C58" s="36"/>
      <c r="D58" s="38"/>
      <c r="E58" s="34"/>
      <c r="F58" s="24"/>
      <c r="G58" s="24"/>
      <c r="H58" s="24"/>
      <c r="I58" s="3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17"/>
      <c r="AO58" s="4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17"/>
      <c r="BS58" s="4"/>
      <c r="BT58" s="5"/>
      <c r="BU58" s="21"/>
      <c r="BV58" s="4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21"/>
      <c r="CV58" s="4"/>
      <c r="CW58" s="17"/>
      <c r="CX58" s="4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17"/>
      <c r="EC58" s="4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17"/>
      <c r="FE58" s="4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17"/>
    </row>
    <row r="59" spans="1:191" ht="60" customHeight="1" x14ac:dyDescent="0.45">
      <c r="A59" s="26"/>
      <c r="B59" s="3"/>
      <c r="C59" s="36"/>
      <c r="D59" s="38"/>
      <c r="E59" s="34"/>
      <c r="F59" s="24"/>
      <c r="G59" s="24"/>
      <c r="H59" s="24"/>
      <c r="I59" s="3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17"/>
      <c r="AO59" s="4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17"/>
      <c r="BS59" s="4"/>
      <c r="BT59" s="5"/>
      <c r="BU59" s="21"/>
      <c r="BV59" s="4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21"/>
      <c r="CV59" s="4"/>
      <c r="CW59" s="17"/>
      <c r="CX59" s="4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17"/>
      <c r="EC59" s="4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17"/>
      <c r="FE59" s="4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17"/>
    </row>
    <row r="60" spans="1:191" ht="60" customHeight="1" x14ac:dyDescent="0.45">
      <c r="A60" s="26"/>
      <c r="B60" s="3"/>
      <c r="C60" s="36"/>
      <c r="D60" s="38"/>
      <c r="E60" s="34"/>
      <c r="F60" s="24"/>
      <c r="G60" s="24"/>
      <c r="H60" s="24"/>
      <c r="I60" s="3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17"/>
      <c r="AO60" s="4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17"/>
      <c r="BS60" s="4"/>
      <c r="BT60" s="5"/>
      <c r="BU60" s="21"/>
      <c r="BV60" s="4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21"/>
      <c r="CV60" s="4"/>
      <c r="CW60" s="17"/>
      <c r="CX60" s="4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17"/>
      <c r="EC60" s="4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17"/>
      <c r="FE60" s="4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17"/>
    </row>
    <row r="61" spans="1:191" ht="60" customHeight="1" x14ac:dyDescent="0.45">
      <c r="A61" s="26"/>
      <c r="B61" s="3"/>
      <c r="C61" s="36"/>
      <c r="D61" s="38"/>
      <c r="E61" s="34"/>
      <c r="F61" s="24"/>
      <c r="G61" s="24"/>
      <c r="H61" s="24"/>
      <c r="I61" s="3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17"/>
      <c r="AO61" s="4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17"/>
      <c r="BS61" s="4"/>
      <c r="BT61" s="5"/>
      <c r="BU61" s="21"/>
      <c r="BV61" s="4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21"/>
      <c r="CV61" s="4"/>
      <c r="CW61" s="17"/>
      <c r="CX61" s="4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17"/>
      <c r="EC61" s="4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17"/>
      <c r="FE61" s="4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17"/>
    </row>
    <row r="62" spans="1:191" ht="60" customHeight="1" x14ac:dyDescent="0.45">
      <c r="A62" s="26"/>
      <c r="B62" s="3"/>
      <c r="C62" s="36"/>
      <c r="D62" s="38"/>
      <c r="E62" s="34"/>
      <c r="F62" s="24"/>
      <c r="G62" s="24"/>
      <c r="H62" s="24"/>
      <c r="I62" s="3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17"/>
      <c r="AO62" s="4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17"/>
      <c r="BS62" s="4"/>
      <c r="BT62" s="5"/>
      <c r="BU62" s="21"/>
      <c r="BV62" s="4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21"/>
      <c r="CV62" s="4"/>
      <c r="CW62" s="17"/>
      <c r="CX62" s="4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17"/>
      <c r="EC62" s="4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17"/>
      <c r="FE62" s="4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17"/>
    </row>
    <row r="63" spans="1:191" ht="60" customHeight="1" x14ac:dyDescent="0.45">
      <c r="A63" s="26"/>
      <c r="B63" s="3"/>
      <c r="C63" s="36"/>
      <c r="D63" s="38"/>
      <c r="E63" s="34"/>
      <c r="F63" s="24"/>
      <c r="G63" s="24"/>
      <c r="H63" s="24"/>
      <c r="I63" s="3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17"/>
      <c r="AO63" s="4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17"/>
      <c r="BS63" s="4"/>
      <c r="BT63" s="5"/>
      <c r="BU63" s="21"/>
      <c r="BV63" s="4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21"/>
      <c r="CV63" s="4"/>
      <c r="CW63" s="17"/>
      <c r="CX63" s="4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17"/>
      <c r="EC63" s="4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17"/>
      <c r="FE63" s="4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17"/>
    </row>
    <row r="64" spans="1:191" ht="60" customHeight="1" x14ac:dyDescent="0.45">
      <c r="A64" s="26"/>
      <c r="B64" s="3"/>
      <c r="C64" s="36"/>
      <c r="D64" s="38"/>
      <c r="E64" s="34"/>
      <c r="F64" s="24"/>
      <c r="G64" s="24"/>
      <c r="H64" s="24"/>
      <c r="I64" s="3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17"/>
      <c r="AO64" s="4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17"/>
      <c r="BS64" s="4"/>
      <c r="BT64" s="5"/>
      <c r="BU64" s="21"/>
      <c r="BV64" s="4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21"/>
      <c r="CV64" s="4"/>
      <c r="CW64" s="17"/>
      <c r="CX64" s="4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17"/>
      <c r="EC64" s="4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17"/>
      <c r="FE64" s="4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17"/>
    </row>
    <row r="65" spans="1:191" ht="60" customHeight="1" x14ac:dyDescent="0.45">
      <c r="A65" s="26"/>
      <c r="B65" s="3"/>
      <c r="C65" s="36"/>
      <c r="D65" s="38"/>
      <c r="E65" s="34"/>
      <c r="F65" s="24"/>
      <c r="G65" s="24"/>
      <c r="H65" s="24"/>
      <c r="I65" s="3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17"/>
      <c r="AO65" s="4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17"/>
      <c r="BS65" s="4"/>
      <c r="BT65" s="5"/>
      <c r="BU65" s="21"/>
      <c r="BV65" s="4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21"/>
      <c r="CV65" s="4"/>
      <c r="CW65" s="17"/>
      <c r="CX65" s="4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17"/>
      <c r="EC65" s="4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17"/>
      <c r="FE65" s="4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17"/>
    </row>
    <row r="66" spans="1:191" ht="60" customHeight="1" x14ac:dyDescent="0.45">
      <c r="A66" s="26"/>
      <c r="B66" s="3"/>
      <c r="C66" s="36"/>
      <c r="D66" s="38"/>
      <c r="E66" s="34"/>
      <c r="F66" s="24"/>
      <c r="G66" s="24"/>
      <c r="H66" s="24"/>
      <c r="I66" s="3"/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8"/>
      <c r="AO66" s="6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18"/>
      <c r="BS66" s="6"/>
      <c r="BT66" s="7"/>
      <c r="BU66" s="22"/>
      <c r="BV66" s="6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22"/>
      <c r="CV66" s="6"/>
      <c r="CW66" s="18"/>
      <c r="CX66" s="6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18"/>
      <c r="EC66" s="6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18"/>
      <c r="FE66" s="6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18"/>
    </row>
  </sheetData>
  <autoFilter ref="A8:GJ10" xr:uid="{B3BDCDCE-14BB-4E1E-8D8F-50B8931AC441}"/>
  <mergeCells count="27">
    <mergeCell ref="U2:X2"/>
    <mergeCell ref="U3:X3"/>
    <mergeCell ref="AE2:AH2"/>
    <mergeCell ref="B2:C3"/>
    <mergeCell ref="B6:B8"/>
    <mergeCell ref="D6:D8"/>
    <mergeCell ref="E6:F6"/>
    <mergeCell ref="I6:I8"/>
    <mergeCell ref="E7:E8"/>
    <mergeCell ref="F7:F8"/>
    <mergeCell ref="D2:I3"/>
    <mergeCell ref="J2:M2"/>
    <mergeCell ref="J3:M3"/>
    <mergeCell ref="N2:R2"/>
    <mergeCell ref="N3:R3"/>
    <mergeCell ref="J5:CW5"/>
    <mergeCell ref="CX5:GI5"/>
    <mergeCell ref="C6:C8"/>
    <mergeCell ref="G6:H6"/>
    <mergeCell ref="G7:G8"/>
    <mergeCell ref="H7:H8"/>
    <mergeCell ref="J6:AN6"/>
    <mergeCell ref="AO6:BR6"/>
    <mergeCell ref="BS6:CW6"/>
    <mergeCell ref="CX6:EB6"/>
    <mergeCell ref="EC6:FD6"/>
    <mergeCell ref="FE6:GI6"/>
  </mergeCells>
  <phoneticPr fontId="2"/>
  <conditionalFormatting sqref="J6 AO6 BS6 CX6 EC6 FE6">
    <cfRule type="notContainsBlanks" dxfId="3" priority="4">
      <formula>LEN(TRIM(J6))&gt;0</formula>
    </cfRule>
  </conditionalFormatting>
  <conditionalFormatting sqref="J7:J8">
    <cfRule type="expression" dxfId="2" priority="1">
      <formula>TEXT(J7,"aaa")="日"</formula>
    </cfRule>
  </conditionalFormatting>
  <conditionalFormatting sqref="J7:GI8">
    <cfRule type="expression" dxfId="1" priority="2">
      <formula>TEXT(J7,"aaa")="土"</formula>
    </cfRule>
  </conditionalFormatting>
  <conditionalFormatting sqref="K7:GI8">
    <cfRule type="expression" dxfId="0" priority="3">
      <formula>TEXT(K7,"aaa")="日"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進捗管理表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2024-12-27T00:13:27Z</dcterms:created>
  <dcterms:modified xsi:type="dcterms:W3CDTF">2026-10-10T08:39:57Z</dcterms:modified>
</cp:coreProperties>
</file>